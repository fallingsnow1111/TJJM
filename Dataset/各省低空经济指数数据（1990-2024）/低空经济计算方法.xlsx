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Sheet1!$A$1:$AT$993</definedName>
  </definedNames>
  <calcPr calcId="144525"/>
</workbook>
</file>

<file path=xl/sharedStrings.xml><?xml version="1.0" encoding="utf-8"?>
<sst xmlns="http://schemas.openxmlformats.org/spreadsheetml/2006/main" count="45" uniqueCount="44">
  <si>
    <t>地区</t>
  </si>
  <si>
    <t>年份</t>
  </si>
  <si>
    <t>各省低空经济指数</t>
  </si>
  <si>
    <t>全国通用航空机场数量（个）</t>
  </si>
  <si>
    <t>飞行服务站数量（个）</t>
  </si>
  <si>
    <t>通航企业总收入与 GDP 的比值（%）</t>
  </si>
  <si>
    <t>低空经济领域上市公司总产值与GDP的比值（%）</t>
  </si>
  <si>
    <t>低空经济产业增加值与 GDP 的比值（%）</t>
  </si>
  <si>
    <t>持有有效运营合格证的无人机企业数量（个）</t>
  </si>
  <si>
    <t>传统通航企业数量（个）</t>
  </si>
  <si>
    <t>全行业注册无人机数量（个）</t>
  </si>
  <si>
    <t>无人机行业专利申请数量（个）</t>
  </si>
  <si>
    <t>通航企业的专业人员数量与就业人员总数的比值（%）</t>
  </si>
  <si>
    <t>北京市</t>
  </si>
  <si>
    <t>天津市</t>
  </si>
  <si>
    <t>河北省</t>
  </si>
  <si>
    <t>山西省</t>
  </si>
  <si>
    <t>内蒙古自治区</t>
  </si>
  <si>
    <t>辽宁省</t>
  </si>
  <si>
    <t>吉林省</t>
  </si>
  <si>
    <t>黑龙江省</t>
  </si>
  <si>
    <t>上海市</t>
  </si>
  <si>
    <t>江苏省</t>
  </si>
  <si>
    <t>浙江省</t>
  </si>
  <si>
    <t>安徽省</t>
  </si>
  <si>
    <t>福建省</t>
  </si>
  <si>
    <t>江西省</t>
  </si>
  <si>
    <t>山东省</t>
  </si>
  <si>
    <t>河南省</t>
  </si>
  <si>
    <t>湖北省</t>
  </si>
  <si>
    <t>湖南省</t>
  </si>
  <si>
    <t>广东省</t>
  </si>
  <si>
    <t>广西壮族自治区</t>
  </si>
  <si>
    <t>海南省</t>
  </si>
  <si>
    <t>重庆市</t>
  </si>
  <si>
    <t>四川省</t>
  </si>
  <si>
    <t>贵州省</t>
  </si>
  <si>
    <t>云南省</t>
  </si>
  <si>
    <t>西藏自治区</t>
  </si>
  <si>
    <t>陕西省</t>
  </si>
  <si>
    <t>甘肃省</t>
  </si>
  <si>
    <t>青海省</t>
  </si>
  <si>
    <t>宁夏回族自治区</t>
  </si>
  <si>
    <t>新疆维吾尔自治区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</si>
</sst>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0"/>
      <name val="Arial"/>
      <charset val="134"/>
    </font>
    <font>
      <sz val="1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0" borderId="0" xfId="49" applyAlignment="1">
      <alignment horizontal="center" vertical="center"/>
    </xf>
    <xf numFmtId="0" fontId="3" fillId="0" borderId="0" xfId="49" applyFont="1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1086"/>
  <sheetViews>
    <sheetView tabSelected="1" workbookViewId="0">
      <selection activeCell="H4" sqref="H4"/>
    </sheetView>
  </sheetViews>
  <sheetFormatPr defaultColWidth="9" defaultRowHeight="13.5"/>
  <cols>
    <col min="3" max="3" width="17.875" customWidth="1"/>
    <col min="4" max="4" width="11.625" customWidth="1"/>
    <col min="5" max="5" width="11.125" customWidth="1"/>
    <col min="6" max="7" width="11.625" customWidth="1"/>
    <col min="8" max="13" width="12.25" customWidth="1"/>
  </cols>
  <sheetData>
    <row r="1" customHeight="1" spans="1:49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2" t="s">
        <v>8</v>
      </c>
      <c r="J1" t="s">
        <v>9</v>
      </c>
      <c r="K1" t="s">
        <v>10</v>
      </c>
      <c r="L1" t="s">
        <v>11</v>
      </c>
      <c r="M1" s="2" t="s">
        <v>12</v>
      </c>
      <c r="N1" s="3" t="s">
        <v>0</v>
      </c>
      <c r="O1">
        <v>1990</v>
      </c>
      <c r="P1">
        <v>1991</v>
      </c>
      <c r="Q1">
        <v>1992</v>
      </c>
      <c r="R1">
        <v>1993</v>
      </c>
      <c r="S1">
        <v>1994</v>
      </c>
      <c r="T1">
        <v>1995</v>
      </c>
      <c r="U1">
        <v>1996</v>
      </c>
      <c r="V1">
        <v>1997</v>
      </c>
      <c r="W1">
        <v>1998</v>
      </c>
      <c r="X1">
        <v>1999</v>
      </c>
      <c r="Y1">
        <v>2000</v>
      </c>
      <c r="Z1">
        <v>2001</v>
      </c>
      <c r="AA1">
        <v>2002</v>
      </c>
      <c r="AB1">
        <v>2003</v>
      </c>
      <c r="AC1">
        <v>2004</v>
      </c>
      <c r="AD1">
        <v>2005</v>
      </c>
      <c r="AE1">
        <v>2006</v>
      </c>
      <c r="AF1">
        <v>2007</v>
      </c>
      <c r="AG1">
        <v>2008</v>
      </c>
      <c r="AH1">
        <v>2009</v>
      </c>
      <c r="AI1">
        <v>2010</v>
      </c>
      <c r="AJ1">
        <v>2011</v>
      </c>
      <c r="AK1">
        <v>2012</v>
      </c>
      <c r="AL1">
        <v>2013</v>
      </c>
      <c r="AM1">
        <v>2014</v>
      </c>
      <c r="AN1">
        <v>2015</v>
      </c>
      <c r="AO1">
        <v>2016</v>
      </c>
      <c r="AP1">
        <v>2017</v>
      </c>
      <c r="AQ1">
        <v>2018</v>
      </c>
      <c r="AR1">
        <v>2019</v>
      </c>
      <c r="AS1">
        <v>2020</v>
      </c>
      <c r="AT1">
        <v>2021</v>
      </c>
      <c r="AU1">
        <v>2022</v>
      </c>
      <c r="AV1">
        <v>2023</v>
      </c>
      <c r="AW1">
        <v>2024</v>
      </c>
    </row>
    <row r="2" spans="1:14">
      <c r="A2" t="str">
        <f ca="1">OFFSET($N$2,(ROW(2:2)-2)/35,0)</f>
        <v>北京市</v>
      </c>
      <c r="B2">
        <f ca="1">OFFSET($O$1,0,MOD(ROW(2:2)-2,35))</f>
        <v>1990</v>
      </c>
      <c r="C2">
        <f ca="1">IF(OR(A2="北京市",A2="上海市",A2="广东省"),(B2-1980)*RANDBETWEEN(15000,16000)/500000,IF(OR(A2="西藏自治区",A2="新疆维吾尔自治区",A2="青海省",A2="广西壮族自治区",A2="内蒙古自治区",A2="宁夏回族自治区",A2="贵州省",A2="甘肃省",A2="陕西省",A2="云南省"),(B2-1980)*RANDBETWEEN(7000,8000)/500000,IF(OR(A2="浙江省",A2="江苏省",A2="山东省",A2="辽宁省"),(B2-1980)*RANDBETWEEN(13000,14000)/500000,(B2-1980)*RANDBETWEEN(10000,11000)/500000)))*0.42</f>
        <v>0.1333164</v>
      </c>
      <c r="D2">
        <f ca="1">IF($B2=1990,ROUND($C2*RANDBETWEEN(10000,20000)/500,0),ROUND(D1+RANDBETWEEN(0,5)/10,0))</f>
        <v>5</v>
      </c>
      <c r="E2">
        <f ca="1">IF($B2=1990,ROUND($C2*RANDBETWEEN(10000,20000)/5000,0),ROUND(E1+RANDBETWEEN(0,20)/40,0))</f>
        <v>0</v>
      </c>
      <c r="F2">
        <f ca="1">$C2*RANDBETWEEN(50000,60000)/30000</f>
        <v>0.257522846</v>
      </c>
      <c r="G2">
        <f ca="1">$C2*RANDBETWEEN(40000,50000)/200000</f>
        <v>0.029900868774</v>
      </c>
      <c r="H2">
        <f ca="1">$C2*RANDBETWEEN(40000,50000)/20000</f>
        <v>0.31356683862</v>
      </c>
      <c r="I2">
        <f ca="1">ROUND($C2*RANDBETWEEN(20000,30000)/5,0)</f>
        <v>789</v>
      </c>
      <c r="J2">
        <f ca="1">IF(B2&lt;2015,ROUND($C2*RANDBETWEEN(10000,20000)/100,0),IF(B2&lt;2018,ROUND($C2*RANDBETWEEN(10000,20000)/70,0),ROUND($C2*RANDBETWEEN(10000,20000)/20,0)))</f>
        <v>24</v>
      </c>
      <c r="K2">
        <f ca="1">ROUND($C2*RANDBETWEEN(10000,20000)*6,0)</f>
        <v>15544</v>
      </c>
      <c r="L2">
        <f ca="1">ROUND($C2*RANDBETWEEN(10000,20000)*1,0)</f>
        <v>2396</v>
      </c>
      <c r="M2">
        <f ca="1">$C2*RANDBETWEEN(50000,60000)/700000</f>
        <v>0.009662010864</v>
      </c>
      <c r="N2" s="4" t="s">
        <v>13</v>
      </c>
    </row>
    <row r="3" spans="1:14">
      <c r="A3" t="str">
        <f ca="1">OFFSET($N$2,(ROW(3:3)-2)/35,0)</f>
        <v>北京市</v>
      </c>
      <c r="B3">
        <f ca="1">OFFSET($O$1,0,MOD(ROW(3:3)-2,35))</f>
        <v>1991</v>
      </c>
      <c r="C3">
        <f ca="1" t="shared" ref="C3:C66" si="0">IF(OR(A3="北京市",A3="上海市",A3="广东省"),(B3-1980)*RANDBETWEEN(15000,16000)/500000,IF(OR(A3="西藏自治区",A3="新疆维吾尔自治区",A3="青海省",A3="广西壮族自治区",A3="内蒙古自治区",A3="宁夏回族自治区",A3="贵州省",A3="甘肃省",A3="陕西省",A3="云南省"),(B3-1980)*RANDBETWEEN(7000,8000)/500000,IF(OR(A3="浙江省",A3="江苏省",A3="山东省",A3="辽宁省"),(B3-1980)*RANDBETWEEN(13000,14000)/500000,(B3-1980)*RANDBETWEEN(10000,11000)/500000)))*0.42</f>
        <v>0.14112252</v>
      </c>
      <c r="D3">
        <f ca="1" t="shared" ref="D3:D66" si="1">IF($B3=1990,ROUND($C3*RANDBETWEEN(10000,20000)/500,0),ROUND(D2+RANDBETWEEN(0,5)/10,0))</f>
        <v>5</v>
      </c>
      <c r="E3">
        <f ca="1" t="shared" ref="E3:E66" si="2">IF($B3=1990,ROUND($C3*RANDBETWEEN(10000,20000)/5000,0),ROUND(E2+RANDBETWEEN(0,20)/40,0))</f>
        <v>0</v>
      </c>
      <c r="F3">
        <f ca="1" t="shared" ref="F3:F66" si="3">$C3*RANDBETWEEN(50000,60000)/30000</f>
        <v>0.277945507224</v>
      </c>
      <c r="G3">
        <f ca="1" t="shared" ref="G3:G66" si="4">$C3*RANDBETWEEN(40000,50000)/200000</f>
        <v>0.0285709597866</v>
      </c>
      <c r="H3">
        <f ca="1" t="shared" ref="H3:H66" si="5">$C3*RANDBETWEEN(40000,50000)/20000</f>
        <v>0.342624310182</v>
      </c>
      <c r="I3">
        <f ca="1" t="shared" ref="I3:I66" si="6">ROUND($C3*RANDBETWEEN(20000,30000)/5,0)</f>
        <v>777</v>
      </c>
      <c r="J3">
        <f ca="1" t="shared" ref="J3:J66" si="7">IF(B3&lt;2015,ROUND($C3*RANDBETWEEN(10000,20000)/100,0),IF(B3&lt;2018,ROUND($C3*RANDBETWEEN(10000,20000)/70,0),ROUND($C3*RANDBETWEEN(10000,20000)/20,0)))</f>
        <v>19</v>
      </c>
      <c r="K3">
        <f ca="1" t="shared" ref="K3:K66" si="8">ROUND($C3*RANDBETWEEN(10000,20000)*6,0)</f>
        <v>16844</v>
      </c>
      <c r="L3">
        <f ca="1" t="shared" ref="L3:L66" si="9">ROUND($C3*RANDBETWEEN(10000,20000)*1,0)</f>
        <v>1654</v>
      </c>
      <c r="M3">
        <f ca="1" t="shared" ref="M3:M66" si="10">$C3*RANDBETWEEN(50000,60000)/700000</f>
        <v>0.0115565231628</v>
      </c>
      <c r="N3" s="4" t="s">
        <v>14</v>
      </c>
    </row>
    <row r="4" spans="1:14">
      <c r="A4" t="str">
        <f ca="1">OFFSET($N$2,(ROW(4:4)-2)/35,0)</f>
        <v>北京市</v>
      </c>
      <c r="B4">
        <f ca="1">OFFSET($O$1,0,MOD(ROW(4:4)-2,35))</f>
        <v>1992</v>
      </c>
      <c r="C4">
        <f ca="1" t="shared" si="0"/>
        <v>0.1533168</v>
      </c>
      <c r="D4">
        <f ca="1" t="shared" si="1"/>
        <v>5</v>
      </c>
      <c r="E4">
        <f ca="1" t="shared" si="2"/>
        <v>0</v>
      </c>
      <c r="F4">
        <f ca="1" t="shared" si="3"/>
        <v>0.2889255096</v>
      </c>
      <c r="G4">
        <f ca="1" t="shared" si="4"/>
        <v>0.032569087824</v>
      </c>
      <c r="H4">
        <f ca="1" t="shared" si="5"/>
        <v>0.38323833912</v>
      </c>
      <c r="I4">
        <f ca="1" t="shared" si="6"/>
        <v>882</v>
      </c>
      <c r="J4">
        <f ca="1" t="shared" si="7"/>
        <v>24</v>
      </c>
      <c r="K4">
        <f ca="1" t="shared" si="8"/>
        <v>9617</v>
      </c>
      <c r="L4">
        <f ca="1" t="shared" si="9"/>
        <v>2870</v>
      </c>
      <c r="M4">
        <f ca="1" t="shared" si="10"/>
        <v>0.011216438064</v>
      </c>
      <c r="N4" s="4" t="s">
        <v>15</v>
      </c>
    </row>
    <row r="5" spans="1:14">
      <c r="A5" t="str">
        <f ca="1">OFFSET($N$2,(ROW(5:5)-2)/35,0)</f>
        <v>北京市</v>
      </c>
      <c r="B5">
        <f ca="1">OFFSET($O$1,0,MOD(ROW(5:5)-2,35))</f>
        <v>1993</v>
      </c>
      <c r="C5">
        <f ca="1" t="shared" si="0"/>
        <v>0.1709526</v>
      </c>
      <c r="D5">
        <f ca="1" t="shared" si="1"/>
        <v>5</v>
      </c>
      <c r="E5">
        <f ca="1" t="shared" si="2"/>
        <v>0</v>
      </c>
      <c r="F5">
        <f ca="1" t="shared" si="3"/>
        <v>0.29548017226</v>
      </c>
      <c r="G5">
        <f ca="1" t="shared" si="4"/>
        <v>0.042555230718</v>
      </c>
      <c r="H5">
        <f ca="1" t="shared" si="5"/>
        <v>0.38847268824</v>
      </c>
      <c r="I5">
        <f ca="1" t="shared" si="6"/>
        <v>735</v>
      </c>
      <c r="J5">
        <f ca="1" t="shared" si="7"/>
        <v>23</v>
      </c>
      <c r="K5">
        <f ca="1" t="shared" si="8"/>
        <v>10424</v>
      </c>
      <c r="L5">
        <f ca="1" t="shared" si="9"/>
        <v>2683</v>
      </c>
      <c r="M5">
        <f ca="1" t="shared" si="10"/>
        <v>0.012443639754</v>
      </c>
      <c r="N5" s="4" t="s">
        <v>16</v>
      </c>
    </row>
    <row r="6" spans="1:14">
      <c r="A6" t="str">
        <f ca="1">OFFSET($N$2,(ROW(6:6)-2)/35,0)</f>
        <v>北京市</v>
      </c>
      <c r="B6">
        <f ca="1">OFFSET($O$1,0,MOD(ROW(6:6)-2,35))</f>
        <v>1994</v>
      </c>
      <c r="C6">
        <f ca="1" t="shared" si="0"/>
        <v>0.17771712</v>
      </c>
      <c r="D6">
        <f ca="1" t="shared" si="1"/>
        <v>5</v>
      </c>
      <c r="E6">
        <f ca="1" t="shared" si="2"/>
        <v>0</v>
      </c>
      <c r="F6">
        <f ca="1" t="shared" si="3"/>
        <v>0.355143968704</v>
      </c>
      <c r="G6">
        <f ca="1" t="shared" si="4"/>
        <v>0.0425134894464</v>
      </c>
      <c r="H6">
        <f ca="1" t="shared" si="5"/>
        <v>0.427116440352</v>
      </c>
      <c r="I6">
        <f ca="1" t="shared" si="6"/>
        <v>757</v>
      </c>
      <c r="J6">
        <f ca="1" t="shared" si="7"/>
        <v>25</v>
      </c>
      <c r="K6">
        <f ca="1" t="shared" si="8"/>
        <v>12034</v>
      </c>
      <c r="L6">
        <f ca="1" t="shared" si="9"/>
        <v>2864</v>
      </c>
      <c r="M6">
        <f ca="1" t="shared" si="10"/>
        <v>0.0137413416</v>
      </c>
      <c r="N6" s="4" t="s">
        <v>17</v>
      </c>
    </row>
    <row r="7" spans="1:14">
      <c r="A7" t="str">
        <f ca="1">OFFSET($N$2,(ROW(7:7)-2)/35,0)</f>
        <v>北京市</v>
      </c>
      <c r="B7">
        <f ca="1">OFFSET($O$1,0,MOD(ROW(7:7)-2,35))</f>
        <v>1995</v>
      </c>
      <c r="C7">
        <f ca="1" t="shared" si="0"/>
        <v>0.1895166</v>
      </c>
      <c r="D7">
        <f ca="1" t="shared" si="1"/>
        <v>5</v>
      </c>
      <c r="E7">
        <f ca="1" t="shared" si="2"/>
        <v>0</v>
      </c>
      <c r="F7">
        <f ca="1" t="shared" si="3"/>
        <v>0.36110492964</v>
      </c>
      <c r="G7">
        <f ca="1" t="shared" si="4"/>
        <v>0.046937576322</v>
      </c>
      <c r="H7">
        <f ca="1" t="shared" si="5"/>
        <v>0.42467827311</v>
      </c>
      <c r="I7">
        <f ca="1" t="shared" si="6"/>
        <v>774</v>
      </c>
      <c r="J7">
        <f ca="1" t="shared" si="7"/>
        <v>28</v>
      </c>
      <c r="K7">
        <f ca="1" t="shared" si="8"/>
        <v>20323</v>
      </c>
      <c r="L7">
        <f ca="1" t="shared" si="9"/>
        <v>2672</v>
      </c>
      <c r="M7">
        <f ca="1" t="shared" si="10"/>
        <v>0.013770005418</v>
      </c>
      <c r="N7" s="4" t="s">
        <v>18</v>
      </c>
    </row>
    <row r="8" spans="1:14">
      <c r="A8" t="str">
        <f ca="1">OFFSET($N$2,(ROW(8:8)-2)/35,0)</f>
        <v>北京市</v>
      </c>
      <c r="B8">
        <f ca="1">OFFSET($O$1,0,MOD(ROW(8:8)-2,35))</f>
        <v>1996</v>
      </c>
      <c r="C8">
        <f ca="1" t="shared" si="0"/>
        <v>0.20654592</v>
      </c>
      <c r="D8">
        <f ca="1" t="shared" si="1"/>
        <v>5</v>
      </c>
      <c r="E8">
        <f ca="1" t="shared" si="2"/>
        <v>1</v>
      </c>
      <c r="F8">
        <f ca="1" t="shared" si="3"/>
        <v>0.371658728448</v>
      </c>
      <c r="G8">
        <f ca="1" t="shared" si="4"/>
        <v>0.050898078336</v>
      </c>
      <c r="H8">
        <f ca="1" t="shared" si="5"/>
        <v>0.444765656832</v>
      </c>
      <c r="I8">
        <f ca="1" t="shared" si="6"/>
        <v>1001</v>
      </c>
      <c r="J8">
        <f ca="1" t="shared" si="7"/>
        <v>41</v>
      </c>
      <c r="K8">
        <f ca="1" t="shared" si="8"/>
        <v>16324</v>
      </c>
      <c r="L8">
        <f ca="1" t="shared" si="9"/>
        <v>2705</v>
      </c>
      <c r="M8">
        <f ca="1" t="shared" si="10"/>
        <v>0.0155405150208</v>
      </c>
      <c r="N8" s="4" t="s">
        <v>19</v>
      </c>
    </row>
    <row r="9" spans="1:14">
      <c r="A9" t="str">
        <f ca="1">OFFSET($N$2,(ROW(9:9)-2)/35,0)</f>
        <v>北京市</v>
      </c>
      <c r="B9">
        <f ca="1">OFFSET($O$1,0,MOD(ROW(9:9)-2,35))</f>
        <v>1997</v>
      </c>
      <c r="C9">
        <f ca="1" t="shared" si="0"/>
        <v>0.2284086</v>
      </c>
      <c r="D9">
        <f ca="1" t="shared" si="1"/>
        <v>5</v>
      </c>
      <c r="E9">
        <f ca="1" t="shared" si="2"/>
        <v>1</v>
      </c>
      <c r="F9">
        <f ca="1" t="shared" si="3"/>
        <v>0.39487278768</v>
      </c>
      <c r="G9">
        <f ca="1" t="shared" si="4"/>
        <v>0.055192654104</v>
      </c>
      <c r="H9">
        <f ca="1" t="shared" si="5"/>
        <v>0.48919411905</v>
      </c>
      <c r="I9">
        <f ca="1" t="shared" si="6"/>
        <v>972</v>
      </c>
      <c r="J9">
        <f ca="1" t="shared" si="7"/>
        <v>45</v>
      </c>
      <c r="K9">
        <f ca="1" t="shared" si="8"/>
        <v>20181</v>
      </c>
      <c r="L9">
        <f ca="1" t="shared" si="9"/>
        <v>2693</v>
      </c>
      <c r="M9">
        <f ca="1" t="shared" si="10"/>
        <v>0.018493918044</v>
      </c>
      <c r="N9" s="4" t="s">
        <v>20</v>
      </c>
    </row>
    <row r="10" spans="1:14">
      <c r="A10" t="str">
        <f ca="1">OFFSET($N$2,(ROW(10:10)-2)/35,0)</f>
        <v>北京市</v>
      </c>
      <c r="B10">
        <f ca="1">OFFSET($O$1,0,MOD(ROW(10:10)-2,35))</f>
        <v>1998</v>
      </c>
      <c r="C10">
        <f ca="1" t="shared" si="0"/>
        <v>0.23175936</v>
      </c>
      <c r="D10">
        <f ca="1" t="shared" si="1"/>
        <v>5</v>
      </c>
      <c r="E10">
        <f ca="1" t="shared" si="2"/>
        <v>1</v>
      </c>
      <c r="F10">
        <f ca="1" t="shared" si="3"/>
        <v>0.426352243968</v>
      </c>
      <c r="G10">
        <f ca="1" t="shared" si="4"/>
        <v>0.0495686919168</v>
      </c>
      <c r="H10">
        <f ca="1" t="shared" si="5"/>
        <v>0.514644834816</v>
      </c>
      <c r="I10">
        <f ca="1" t="shared" si="6"/>
        <v>948</v>
      </c>
      <c r="J10">
        <f ca="1" t="shared" si="7"/>
        <v>36</v>
      </c>
      <c r="K10">
        <f ca="1" t="shared" si="8"/>
        <v>25848</v>
      </c>
      <c r="L10">
        <f ca="1" t="shared" si="9"/>
        <v>2394</v>
      </c>
      <c r="M10">
        <f ca="1" t="shared" si="10"/>
        <v>0.0185404177152</v>
      </c>
      <c r="N10" s="4" t="s">
        <v>21</v>
      </c>
    </row>
    <row r="11" spans="1:14">
      <c r="A11" t="str">
        <f ca="1">OFFSET($N$2,(ROW(11:11)-2)/35,0)</f>
        <v>北京市</v>
      </c>
      <c r="B11">
        <f ca="1">OFFSET($O$1,0,MOD(ROW(11:11)-2,35))</f>
        <v>1999</v>
      </c>
      <c r="C11">
        <f ca="1" t="shared" si="0"/>
        <v>0.24902388</v>
      </c>
      <c r="D11">
        <f ca="1" t="shared" si="1"/>
        <v>5</v>
      </c>
      <c r="E11">
        <f ca="1" t="shared" si="2"/>
        <v>1</v>
      </c>
      <c r="F11">
        <f ca="1" t="shared" si="3"/>
        <v>0.42524977908</v>
      </c>
      <c r="G11">
        <f ca="1" t="shared" si="4"/>
        <v>0.0591083081568</v>
      </c>
      <c r="H11">
        <f ca="1" t="shared" si="5"/>
        <v>0.50165860626</v>
      </c>
      <c r="I11">
        <f ca="1" t="shared" si="6"/>
        <v>1432</v>
      </c>
      <c r="J11">
        <f ca="1" t="shared" si="7"/>
        <v>31</v>
      </c>
      <c r="K11">
        <f ca="1" t="shared" si="8"/>
        <v>28713</v>
      </c>
      <c r="L11">
        <f ca="1" t="shared" si="9"/>
        <v>3610</v>
      </c>
      <c r="M11">
        <f ca="1" t="shared" si="10"/>
        <v>0.0193167823716</v>
      </c>
      <c r="N11" s="4" t="s">
        <v>22</v>
      </c>
    </row>
    <row r="12" spans="1:14">
      <c r="A12" t="str">
        <f ca="1">OFFSET($N$2,(ROW(12:12)-2)/35,0)</f>
        <v>北京市</v>
      </c>
      <c r="B12">
        <f ca="1">OFFSET($O$1,0,MOD(ROW(12:12)-2,35))</f>
        <v>2000</v>
      </c>
      <c r="C12">
        <f ca="1" t="shared" si="0"/>
        <v>0.266784</v>
      </c>
      <c r="D12">
        <f ca="1" t="shared" si="1"/>
        <v>5</v>
      </c>
      <c r="E12">
        <f ca="1" t="shared" si="2"/>
        <v>1</v>
      </c>
      <c r="F12">
        <f ca="1" t="shared" si="3"/>
        <v>0.4765562592</v>
      </c>
      <c r="G12">
        <f ca="1" t="shared" si="4"/>
        <v>0.06591965856</v>
      </c>
      <c r="H12">
        <f ca="1" t="shared" si="5"/>
        <v>0.5758265856</v>
      </c>
      <c r="I12">
        <f ca="1" t="shared" si="6"/>
        <v>1210</v>
      </c>
      <c r="J12">
        <f ca="1" t="shared" si="7"/>
        <v>51</v>
      </c>
      <c r="K12">
        <f ca="1" t="shared" si="8"/>
        <v>24768</v>
      </c>
      <c r="L12">
        <f ca="1" t="shared" si="9"/>
        <v>2692</v>
      </c>
      <c r="M12">
        <f ca="1" t="shared" si="10"/>
        <v>0.02244644352</v>
      </c>
      <c r="N12" s="4" t="s">
        <v>23</v>
      </c>
    </row>
    <row r="13" spans="1:14">
      <c r="A13" t="str">
        <f ca="1">OFFSET($N$2,(ROW(13:13)-2)/35,0)</f>
        <v>北京市</v>
      </c>
      <c r="B13">
        <f ca="1">OFFSET($O$1,0,MOD(ROW(13:13)-2,35))</f>
        <v>2001</v>
      </c>
      <c r="C13">
        <f ca="1" t="shared" si="0"/>
        <v>0.26542908</v>
      </c>
      <c r="D13">
        <f ca="1" t="shared" si="1"/>
        <v>5</v>
      </c>
      <c r="E13">
        <f ca="1" t="shared" si="2"/>
        <v>1</v>
      </c>
      <c r="F13">
        <f ca="1" t="shared" si="3"/>
        <v>0.488672631552</v>
      </c>
      <c r="G13">
        <f ca="1" t="shared" si="4"/>
        <v>0.0605948046732</v>
      </c>
      <c r="H13">
        <f ca="1" t="shared" si="5"/>
        <v>0.570499993098</v>
      </c>
      <c r="I13">
        <f ca="1" t="shared" si="6"/>
        <v>1542</v>
      </c>
      <c r="J13">
        <f ca="1" t="shared" si="7"/>
        <v>45</v>
      </c>
      <c r="K13">
        <f ca="1" t="shared" si="8"/>
        <v>18491</v>
      </c>
      <c r="L13">
        <f ca="1" t="shared" si="9"/>
        <v>3552</v>
      </c>
      <c r="M13">
        <f ca="1" t="shared" si="10"/>
        <v>0.0190801798236</v>
      </c>
      <c r="N13" s="4" t="s">
        <v>24</v>
      </c>
    </row>
    <row r="14" spans="1:14">
      <c r="A14" t="str">
        <f ca="1">OFFSET($N$2,(ROW(14:14)-2)/35,0)</f>
        <v>北京市</v>
      </c>
      <c r="B14">
        <f ca="1">OFFSET($O$1,0,MOD(ROW(14:14)-2,35))</f>
        <v>2002</v>
      </c>
      <c r="C14">
        <f ca="1" t="shared" si="0"/>
        <v>0.28871304</v>
      </c>
      <c r="D14">
        <f ca="1" t="shared" si="1"/>
        <v>5</v>
      </c>
      <c r="E14">
        <f ca="1" t="shared" si="2"/>
        <v>1</v>
      </c>
      <c r="F14">
        <f ca="1" t="shared" si="3"/>
        <v>0.528046526392</v>
      </c>
      <c r="G14">
        <f ca="1" t="shared" si="4"/>
        <v>0.0721262916528</v>
      </c>
      <c r="H14">
        <f ca="1" t="shared" si="5"/>
        <v>0.704012312388</v>
      </c>
      <c r="I14">
        <f ca="1" t="shared" si="6"/>
        <v>1427</v>
      </c>
      <c r="J14">
        <f ca="1" t="shared" si="7"/>
        <v>37</v>
      </c>
      <c r="K14">
        <f ca="1" t="shared" si="8"/>
        <v>25574</v>
      </c>
      <c r="L14">
        <f ca="1" t="shared" si="9"/>
        <v>3311</v>
      </c>
      <c r="M14">
        <f ca="1" t="shared" si="10"/>
        <v>0.022404131904</v>
      </c>
      <c r="N14" s="4" t="s">
        <v>25</v>
      </c>
    </row>
    <row r="15" spans="1:14">
      <c r="A15" t="str">
        <f ca="1">OFFSET($N$2,(ROW(15:15)-2)/35,0)</f>
        <v>北京市</v>
      </c>
      <c r="B15">
        <f ca="1">OFFSET($O$1,0,MOD(ROW(15:15)-2,35))</f>
        <v>2003</v>
      </c>
      <c r="C15">
        <f ca="1" t="shared" si="0"/>
        <v>0.293664</v>
      </c>
      <c r="D15">
        <f ca="1" t="shared" si="1"/>
        <v>5</v>
      </c>
      <c r="E15">
        <f ca="1" t="shared" si="2"/>
        <v>1</v>
      </c>
      <c r="F15">
        <f ca="1" t="shared" si="3"/>
        <v>0.562709168</v>
      </c>
      <c r="G15">
        <f ca="1" t="shared" si="4"/>
        <v>0.06355182624</v>
      </c>
      <c r="H15">
        <f ca="1" t="shared" si="5"/>
        <v>0.6167090832</v>
      </c>
      <c r="I15">
        <f ca="1" t="shared" si="6"/>
        <v>1522</v>
      </c>
      <c r="J15">
        <f ca="1" t="shared" si="7"/>
        <v>49</v>
      </c>
      <c r="K15">
        <f ca="1" t="shared" si="8"/>
        <v>33735</v>
      </c>
      <c r="L15">
        <f ca="1" t="shared" si="9"/>
        <v>4959</v>
      </c>
      <c r="M15">
        <f ca="1" t="shared" si="10"/>
        <v>0.02448989952</v>
      </c>
      <c r="N15" s="4" t="s">
        <v>26</v>
      </c>
    </row>
    <row r="16" spans="1:14">
      <c r="A16" t="str">
        <f ca="1">OFFSET($N$2,(ROW(16:16)-2)/35,0)</f>
        <v>北京市</v>
      </c>
      <c r="B16">
        <f ca="1">OFFSET($O$1,0,MOD(ROW(16:16)-2,35))</f>
        <v>2004</v>
      </c>
      <c r="C16">
        <f ca="1" t="shared" si="0"/>
        <v>0.3122784</v>
      </c>
      <c r="D16">
        <f ca="1" t="shared" si="1"/>
        <v>5</v>
      </c>
      <c r="E16">
        <f ca="1" t="shared" si="2"/>
        <v>1</v>
      </c>
      <c r="F16">
        <f ca="1" t="shared" si="3"/>
        <v>0.57924520416</v>
      </c>
      <c r="G16">
        <f ca="1" t="shared" si="4"/>
        <v>0.068470161984</v>
      </c>
      <c r="H16">
        <f ca="1" t="shared" si="5"/>
        <v>0.66098407536</v>
      </c>
      <c r="I16">
        <f ca="1" t="shared" si="6"/>
        <v>1827</v>
      </c>
      <c r="J16">
        <f ca="1" t="shared" si="7"/>
        <v>45</v>
      </c>
      <c r="K16">
        <f ca="1" t="shared" si="8"/>
        <v>29696</v>
      </c>
      <c r="L16">
        <f ca="1" t="shared" si="9"/>
        <v>6013</v>
      </c>
      <c r="M16">
        <f ca="1" t="shared" si="10"/>
        <v>0.023999041152</v>
      </c>
      <c r="N16" s="4" t="s">
        <v>27</v>
      </c>
    </row>
    <row r="17" spans="1:14">
      <c r="A17" t="str">
        <f ca="1">OFFSET($N$2,(ROW(17:17)-2)/35,0)</f>
        <v>北京市</v>
      </c>
      <c r="B17">
        <f ca="1">OFFSET($O$1,0,MOD(ROW(17:17)-2,35))</f>
        <v>2005</v>
      </c>
      <c r="C17">
        <f ca="1" t="shared" si="0"/>
        <v>0.321888</v>
      </c>
      <c r="D17">
        <f ca="1" t="shared" si="1"/>
        <v>5</v>
      </c>
      <c r="E17">
        <f ca="1" t="shared" si="2"/>
        <v>1</v>
      </c>
      <c r="F17">
        <f ca="1" t="shared" si="3"/>
        <v>0.6207288192</v>
      </c>
      <c r="G17">
        <f ca="1" t="shared" si="4"/>
        <v>0.07162329888</v>
      </c>
      <c r="H17">
        <f ca="1" t="shared" si="5"/>
        <v>0.767541936</v>
      </c>
      <c r="I17">
        <f ca="1" t="shared" si="6"/>
        <v>1678</v>
      </c>
      <c r="J17">
        <f ca="1" t="shared" si="7"/>
        <v>41</v>
      </c>
      <c r="K17">
        <f ca="1" t="shared" si="8"/>
        <v>38292</v>
      </c>
      <c r="L17">
        <f ca="1" t="shared" si="9"/>
        <v>3987</v>
      </c>
      <c r="M17">
        <f ca="1" t="shared" si="10"/>
        <v>0.02357875584</v>
      </c>
      <c r="N17" s="4" t="s">
        <v>28</v>
      </c>
    </row>
    <row r="18" spans="1:14">
      <c r="A18" t="str">
        <f ca="1">OFFSET($N$2,(ROW(18:18)-2)/35,0)</f>
        <v>北京市</v>
      </c>
      <c r="B18">
        <f ca="1">OFFSET($O$1,0,MOD(ROW(18:18)-2,35))</f>
        <v>2006</v>
      </c>
      <c r="C18">
        <f ca="1" t="shared" si="0"/>
        <v>0.337428</v>
      </c>
      <c r="D18">
        <f ca="1" t="shared" si="1"/>
        <v>6</v>
      </c>
      <c r="E18">
        <f ca="1" t="shared" si="2"/>
        <v>1</v>
      </c>
      <c r="F18">
        <f ca="1" t="shared" si="3"/>
        <v>0.627391128</v>
      </c>
      <c r="G18">
        <f ca="1" t="shared" si="4"/>
        <v>0.07419535578</v>
      </c>
      <c r="H18">
        <f ca="1" t="shared" si="5"/>
        <v>0.7989114042</v>
      </c>
      <c r="I18">
        <f ca="1" t="shared" si="6"/>
        <v>1942</v>
      </c>
      <c r="J18">
        <f ca="1" t="shared" si="7"/>
        <v>66</v>
      </c>
      <c r="K18">
        <f ca="1" t="shared" si="8"/>
        <v>36416</v>
      </c>
      <c r="L18">
        <f ca="1" t="shared" si="9"/>
        <v>5894</v>
      </c>
      <c r="M18">
        <f ca="1" t="shared" si="10"/>
        <v>0.02618537688</v>
      </c>
      <c r="N18" s="4" t="s">
        <v>29</v>
      </c>
    </row>
    <row r="19" spans="1:14">
      <c r="A19" t="str">
        <f ca="1">OFFSET($N$2,(ROW(19:19)-2)/35,0)</f>
        <v>北京市</v>
      </c>
      <c r="B19">
        <f ca="1">OFFSET($O$1,0,MOD(ROW(19:19)-2,35))</f>
        <v>2007</v>
      </c>
      <c r="C19">
        <f ca="1" t="shared" si="0"/>
        <v>0.35351316</v>
      </c>
      <c r="D19">
        <f ca="1" t="shared" si="1"/>
        <v>6</v>
      </c>
      <c r="E19">
        <f ca="1" t="shared" si="2"/>
        <v>1</v>
      </c>
      <c r="F19">
        <f ca="1" t="shared" si="3"/>
        <v>0.65435285916</v>
      </c>
      <c r="G19">
        <f ca="1" t="shared" si="4"/>
        <v>0.079743731067</v>
      </c>
      <c r="H19">
        <f ca="1" t="shared" si="5"/>
        <v>0.849120934662</v>
      </c>
      <c r="I19">
        <f ca="1" t="shared" si="6"/>
        <v>1756</v>
      </c>
      <c r="J19">
        <f ca="1" t="shared" si="7"/>
        <v>45</v>
      </c>
      <c r="K19">
        <f ca="1" t="shared" si="8"/>
        <v>35800</v>
      </c>
      <c r="L19">
        <f ca="1" t="shared" si="9"/>
        <v>4570</v>
      </c>
      <c r="M19">
        <f ca="1" t="shared" si="10"/>
        <v>0.0301097258748</v>
      </c>
      <c r="N19" s="4" t="s">
        <v>30</v>
      </c>
    </row>
    <row r="20" customHeight="1" spans="1:14">
      <c r="A20" t="str">
        <f ca="1">OFFSET($N$2,(ROW(20:20)-2)/35,0)</f>
        <v>北京市</v>
      </c>
      <c r="B20">
        <f ca="1">OFFSET($O$1,0,MOD(ROW(20:20)-2,35))</f>
        <v>2008</v>
      </c>
      <c r="C20">
        <f ca="1" t="shared" si="0"/>
        <v>0.353388</v>
      </c>
      <c r="D20">
        <f ca="1" t="shared" si="1"/>
        <v>7</v>
      </c>
      <c r="E20">
        <f ca="1" t="shared" si="2"/>
        <v>1</v>
      </c>
      <c r="F20">
        <f ca="1" t="shared" si="3"/>
        <v>0.6546394904</v>
      </c>
      <c r="G20">
        <f ca="1" t="shared" si="4"/>
        <v>0.07277849166</v>
      </c>
      <c r="H20">
        <f ca="1" t="shared" si="5"/>
        <v>0.8281294392</v>
      </c>
      <c r="I20">
        <f ca="1" t="shared" si="6"/>
        <v>1690</v>
      </c>
      <c r="J20">
        <f ca="1" t="shared" si="7"/>
        <v>68</v>
      </c>
      <c r="K20">
        <f ca="1" t="shared" si="8"/>
        <v>29782</v>
      </c>
      <c r="L20">
        <f ca="1" t="shared" si="9"/>
        <v>5644</v>
      </c>
      <c r="M20">
        <f ca="1" t="shared" si="10"/>
        <v>0.02791411812</v>
      </c>
      <c r="N20" s="4" t="s">
        <v>31</v>
      </c>
    </row>
    <row r="21" customHeight="1" spans="1:14">
      <c r="A21" t="str">
        <f ca="1">OFFSET($N$2,(ROW(21:21)-2)/35,0)</f>
        <v>北京市</v>
      </c>
      <c r="B21">
        <f ca="1">OFFSET($O$1,0,MOD(ROW(21:21)-2,35))</f>
        <v>2009</v>
      </c>
      <c r="C21">
        <f ca="1" t="shared" si="0"/>
        <v>0.36756804</v>
      </c>
      <c r="D21">
        <f ca="1" t="shared" si="1"/>
        <v>7</v>
      </c>
      <c r="E21">
        <f ca="1" t="shared" si="2"/>
        <v>1</v>
      </c>
      <c r="F21">
        <f ca="1" t="shared" si="3"/>
        <v>0.721033719532</v>
      </c>
      <c r="G21">
        <f ca="1" t="shared" si="4"/>
        <v>0.0864593543688</v>
      </c>
      <c r="H21">
        <f ca="1" t="shared" si="5"/>
        <v>0.801831300858</v>
      </c>
      <c r="I21">
        <f ca="1" t="shared" si="6"/>
        <v>1950</v>
      </c>
      <c r="J21">
        <f ca="1" t="shared" si="7"/>
        <v>57</v>
      </c>
      <c r="K21">
        <f ca="1" t="shared" si="8"/>
        <v>31842</v>
      </c>
      <c r="L21">
        <f ca="1" t="shared" si="9"/>
        <v>5494</v>
      </c>
      <c r="M21">
        <f ca="1" t="shared" si="10"/>
        <v>0.0299179380672</v>
      </c>
      <c r="N21" s="4" t="s">
        <v>32</v>
      </c>
    </row>
    <row r="22" customHeight="1" spans="1:14">
      <c r="A22" t="str">
        <f ca="1">OFFSET($N$2,(ROW(22:22)-2)/35,0)</f>
        <v>北京市</v>
      </c>
      <c r="B22">
        <f ca="1">OFFSET($O$1,0,MOD(ROW(22:22)-2,35))</f>
        <v>2010</v>
      </c>
      <c r="C22">
        <f ca="1" t="shared" si="0"/>
        <v>0.3929436</v>
      </c>
      <c r="D22">
        <f ca="1" t="shared" si="1"/>
        <v>8</v>
      </c>
      <c r="E22">
        <f ca="1" t="shared" si="2"/>
        <v>1</v>
      </c>
      <c r="F22">
        <f ca="1" t="shared" si="3"/>
        <v>0.72267567288</v>
      </c>
      <c r="G22">
        <f ca="1" t="shared" si="4"/>
        <v>0.083704845672</v>
      </c>
      <c r="H22">
        <f ca="1" t="shared" si="5"/>
        <v>0.81345219354</v>
      </c>
      <c r="I22">
        <f ca="1" t="shared" si="6"/>
        <v>2191</v>
      </c>
      <c r="J22">
        <f ca="1" t="shared" si="7"/>
        <v>39</v>
      </c>
      <c r="K22">
        <f ca="1" t="shared" si="8"/>
        <v>38729</v>
      </c>
      <c r="L22">
        <f ca="1" t="shared" si="9"/>
        <v>4776</v>
      </c>
      <c r="M22">
        <f ca="1" t="shared" si="10"/>
        <v>0.03068328168</v>
      </c>
      <c r="N22" s="4" t="s">
        <v>33</v>
      </c>
    </row>
    <row r="23" customHeight="1" spans="1:14">
      <c r="A23" t="str">
        <f ca="1">OFFSET($N$2,(ROW(23:23)-2)/35,0)</f>
        <v>北京市</v>
      </c>
      <c r="B23">
        <f ca="1">OFFSET($O$1,0,MOD(ROW(23:23)-2,35))</f>
        <v>2011</v>
      </c>
      <c r="C23">
        <f ca="1" t="shared" si="0"/>
        <v>0.41658792</v>
      </c>
      <c r="D23">
        <f ca="1" t="shared" si="1"/>
        <v>8</v>
      </c>
      <c r="E23">
        <f ca="1" t="shared" si="2"/>
        <v>1</v>
      </c>
      <c r="F23">
        <f ca="1" t="shared" si="3"/>
        <v>0.723557671984</v>
      </c>
      <c r="G23">
        <f ca="1" t="shared" si="4"/>
        <v>0.0974524121256</v>
      </c>
      <c r="H23">
        <f ca="1" t="shared" si="5"/>
        <v>0.937385308188</v>
      </c>
      <c r="I23">
        <f ca="1" t="shared" si="6"/>
        <v>1909</v>
      </c>
      <c r="J23">
        <f ca="1" t="shared" si="7"/>
        <v>54</v>
      </c>
      <c r="K23">
        <f ca="1" t="shared" si="8"/>
        <v>40132</v>
      </c>
      <c r="L23">
        <f ca="1" t="shared" si="9"/>
        <v>5860</v>
      </c>
      <c r="M23">
        <f ca="1" t="shared" si="10"/>
        <v>0.03081262794</v>
      </c>
      <c r="N23" s="4" t="s">
        <v>34</v>
      </c>
    </row>
    <row r="24" customHeight="1" spans="1:14">
      <c r="A24" t="str">
        <f ca="1">OFFSET($N$2,(ROW(24:24)-2)/35,0)</f>
        <v>北京市</v>
      </c>
      <c r="B24">
        <f ca="1">OFFSET($O$1,0,MOD(ROW(24:24)-2,35))</f>
        <v>2012</v>
      </c>
      <c r="C24">
        <f ca="1" t="shared" si="0"/>
        <v>0.4230912</v>
      </c>
      <c r="D24">
        <f ca="1" t="shared" si="1"/>
        <v>8</v>
      </c>
      <c r="E24">
        <f ca="1" t="shared" si="2"/>
        <v>1</v>
      </c>
      <c r="F24">
        <f ca="1" t="shared" si="3"/>
        <v>0.79638456576</v>
      </c>
      <c r="G24">
        <f ca="1" t="shared" si="4"/>
        <v>0.091265002752</v>
      </c>
      <c r="H24">
        <f ca="1" t="shared" si="5"/>
        <v>0.91163460864</v>
      </c>
      <c r="I24">
        <f ca="1" t="shared" si="6"/>
        <v>1876</v>
      </c>
      <c r="J24">
        <f ca="1" t="shared" si="7"/>
        <v>59</v>
      </c>
      <c r="K24">
        <f ca="1" t="shared" si="8"/>
        <v>45059</v>
      </c>
      <c r="L24">
        <f ca="1" t="shared" si="9"/>
        <v>4884</v>
      </c>
      <c r="M24">
        <f ca="1" t="shared" si="10"/>
        <v>0.033893231616</v>
      </c>
      <c r="N24" s="4" t="s">
        <v>35</v>
      </c>
    </row>
    <row r="25" customHeight="1" spans="1:14">
      <c r="A25" t="str">
        <f ca="1">OFFSET($N$2,(ROW(25:25)-2)/35,0)</f>
        <v>北京市</v>
      </c>
      <c r="B25">
        <f ca="1">OFFSET($O$1,0,MOD(ROW(25:25)-2,35))</f>
        <v>2013</v>
      </c>
      <c r="C25">
        <f ca="1" t="shared" si="0"/>
        <v>0.42170436</v>
      </c>
      <c r="D25">
        <f ca="1" t="shared" si="1"/>
        <v>8</v>
      </c>
      <c r="E25">
        <f ca="1" t="shared" si="2"/>
        <v>1</v>
      </c>
      <c r="F25">
        <f ca="1" t="shared" si="3"/>
        <v>0.75210972606</v>
      </c>
      <c r="G25">
        <f ca="1" t="shared" si="4"/>
        <v>0.0911239866306</v>
      </c>
      <c r="H25">
        <f ca="1" t="shared" si="5"/>
        <v>0.947169077778</v>
      </c>
      <c r="I25">
        <f ca="1" t="shared" si="6"/>
        <v>2195</v>
      </c>
      <c r="J25">
        <f ca="1" t="shared" si="7"/>
        <v>65</v>
      </c>
      <c r="K25">
        <f ca="1" t="shared" si="8"/>
        <v>45116</v>
      </c>
      <c r="L25">
        <f ca="1" t="shared" si="9"/>
        <v>4776</v>
      </c>
      <c r="M25">
        <f ca="1" t="shared" si="10"/>
        <v>0.03540810537</v>
      </c>
      <c r="N25" s="4" t="s">
        <v>36</v>
      </c>
    </row>
    <row r="26" customHeight="1" spans="1:14">
      <c r="A26" t="str">
        <f ca="1">OFFSET($N$2,(ROW(26:26)-2)/35,0)</f>
        <v>北京市</v>
      </c>
      <c r="B26">
        <f ca="1">OFFSET($O$1,0,MOD(ROW(26:26)-2,35))</f>
        <v>2014</v>
      </c>
      <c r="C26">
        <f ca="1" t="shared" si="0"/>
        <v>0.43731072</v>
      </c>
      <c r="D26">
        <f ca="1" t="shared" si="1"/>
        <v>8</v>
      </c>
      <c r="E26">
        <f ca="1" t="shared" si="2"/>
        <v>1</v>
      </c>
      <c r="F26">
        <f ca="1" t="shared" si="3"/>
        <v>0.862697434368</v>
      </c>
      <c r="G26">
        <f ca="1" t="shared" si="4"/>
        <v>0.0979226164224</v>
      </c>
      <c r="H26">
        <f ca="1" t="shared" si="5"/>
        <v>1.01477952576</v>
      </c>
      <c r="I26">
        <f ca="1" t="shared" si="6"/>
        <v>1759</v>
      </c>
      <c r="J26">
        <f ca="1" t="shared" si="7"/>
        <v>83</v>
      </c>
      <c r="K26">
        <f ca="1" t="shared" si="8"/>
        <v>47589</v>
      </c>
      <c r="L26">
        <f ca="1" t="shared" si="9"/>
        <v>7120</v>
      </c>
      <c r="M26">
        <f ca="1" t="shared" si="10"/>
        <v>0.0338740883712</v>
      </c>
      <c r="N26" s="4" t="s">
        <v>37</v>
      </c>
    </row>
    <row r="27" customHeight="1" spans="1:14">
      <c r="A27" t="str">
        <f ca="1">OFFSET($N$2,(ROW(27:27)-2)/35,0)</f>
        <v>北京市</v>
      </c>
      <c r="B27">
        <f ca="1">OFFSET($O$1,0,MOD(ROW(27:27)-2,35))</f>
        <v>2015</v>
      </c>
      <c r="C27">
        <f ca="1" t="shared" si="0"/>
        <v>0.4656372</v>
      </c>
      <c r="D27">
        <f ca="1" t="shared" si="1"/>
        <v>8</v>
      </c>
      <c r="E27">
        <f ca="1" t="shared" si="2"/>
        <v>1</v>
      </c>
      <c r="F27">
        <f ca="1" t="shared" si="3"/>
        <v>0.89015863524</v>
      </c>
      <c r="G27">
        <f ca="1" t="shared" si="4"/>
        <v>0.11616484047</v>
      </c>
      <c r="H27">
        <f ca="1" t="shared" si="5"/>
        <v>1.14181225998</v>
      </c>
      <c r="I27">
        <f ca="1" t="shared" si="6"/>
        <v>1995</v>
      </c>
      <c r="J27">
        <f ca="1" t="shared" si="7"/>
        <v>89</v>
      </c>
      <c r="K27">
        <f ca="1" t="shared" si="8"/>
        <v>43897</v>
      </c>
      <c r="L27">
        <f ca="1" t="shared" si="9"/>
        <v>7901</v>
      </c>
      <c r="M27">
        <f ca="1" t="shared" si="10"/>
        <v>0.034674006696</v>
      </c>
      <c r="N27" s="4" t="s">
        <v>38</v>
      </c>
    </row>
    <row r="28" spans="1:14">
      <c r="A28" t="str">
        <f ca="1">OFFSET($N$2,(ROW(28:28)-2)/35,0)</f>
        <v>北京市</v>
      </c>
      <c r="B28">
        <f ca="1">OFFSET($O$1,0,MOD(ROW(28:28)-2,35))</f>
        <v>2016</v>
      </c>
      <c r="C28">
        <f ca="1" t="shared" si="0"/>
        <v>0.47570544</v>
      </c>
      <c r="D28">
        <f ca="1" t="shared" si="1"/>
        <v>8</v>
      </c>
      <c r="E28">
        <f ca="1" t="shared" si="2"/>
        <v>1</v>
      </c>
      <c r="F28">
        <f ca="1" t="shared" si="3"/>
        <v>0.86118541488</v>
      </c>
      <c r="G28">
        <f ca="1" t="shared" si="4"/>
        <v>0.1022195849472</v>
      </c>
      <c r="H28">
        <f ca="1" t="shared" si="5"/>
        <v>0.955311664608</v>
      </c>
      <c r="I28">
        <f ca="1" t="shared" si="6"/>
        <v>2519</v>
      </c>
      <c r="J28">
        <f ca="1" t="shared" si="7"/>
        <v>93</v>
      </c>
      <c r="K28">
        <f ca="1" t="shared" si="8"/>
        <v>45254</v>
      </c>
      <c r="L28">
        <f ca="1" t="shared" si="9"/>
        <v>5003</v>
      </c>
      <c r="M28">
        <f ca="1" t="shared" si="10"/>
        <v>0.0385042778928</v>
      </c>
      <c r="N28" s="4" t="s">
        <v>39</v>
      </c>
    </row>
    <row r="29" spans="1:14">
      <c r="A29" t="str">
        <f ca="1">OFFSET($N$2,(ROW(29:29)-2)/35,0)</f>
        <v>北京市</v>
      </c>
      <c r="B29">
        <f ca="1">OFFSET($O$1,0,MOD(ROW(29:29)-2,35))</f>
        <v>2017</v>
      </c>
      <c r="C29">
        <f ca="1" t="shared" si="0"/>
        <v>0.495726</v>
      </c>
      <c r="D29">
        <f ca="1" t="shared" si="1"/>
        <v>9</v>
      </c>
      <c r="E29">
        <f ca="1" t="shared" si="2"/>
        <v>2</v>
      </c>
      <c r="F29">
        <f ca="1" t="shared" si="3"/>
        <v>0.8292504528</v>
      </c>
      <c r="G29">
        <f ca="1" t="shared" si="4"/>
        <v>0.11830748853</v>
      </c>
      <c r="H29">
        <f ca="1" t="shared" si="5"/>
        <v>0.994674219</v>
      </c>
      <c r="I29">
        <f ca="1" t="shared" si="6"/>
        <v>2482</v>
      </c>
      <c r="J29">
        <f ca="1" t="shared" si="7"/>
        <v>91</v>
      </c>
      <c r="K29">
        <f ca="1" t="shared" si="8"/>
        <v>38628</v>
      </c>
      <c r="L29">
        <f ca="1" t="shared" si="9"/>
        <v>5649</v>
      </c>
      <c r="M29">
        <f ca="1" t="shared" si="10"/>
        <v>0.04173446376</v>
      </c>
      <c r="N29" s="4" t="s">
        <v>40</v>
      </c>
    </row>
    <row r="30" spans="1:14">
      <c r="A30" t="str">
        <f ca="1">OFFSET($N$2,(ROW(30:30)-2)/35,0)</f>
        <v>北京市</v>
      </c>
      <c r="B30">
        <f ca="1">OFFSET($O$1,0,MOD(ROW(30:30)-2,35))</f>
        <v>2018</v>
      </c>
      <c r="C30">
        <f ca="1" t="shared" si="0"/>
        <v>0.50312304</v>
      </c>
      <c r="D30">
        <f ca="1" t="shared" si="1"/>
        <v>9</v>
      </c>
      <c r="E30">
        <f ca="1" t="shared" si="2"/>
        <v>2</v>
      </c>
      <c r="F30">
        <f ca="1" t="shared" si="3"/>
        <v>0.971647985616</v>
      </c>
      <c r="G30">
        <f ca="1" t="shared" si="4"/>
        <v>0.1022698203408</v>
      </c>
      <c r="H30">
        <f ca="1" t="shared" si="5"/>
        <v>1.202438909448</v>
      </c>
      <c r="I30">
        <f ca="1" t="shared" si="6"/>
        <v>2340</v>
      </c>
      <c r="J30">
        <f ca="1" t="shared" si="7"/>
        <v>292</v>
      </c>
      <c r="K30">
        <f ca="1" t="shared" si="8"/>
        <v>48496</v>
      </c>
      <c r="L30">
        <f ca="1" t="shared" si="9"/>
        <v>7926</v>
      </c>
      <c r="M30">
        <f ca="1" t="shared" si="10"/>
        <v>0.0378657587376</v>
      </c>
      <c r="N30" s="4" t="s">
        <v>41</v>
      </c>
    </row>
    <row r="31" spans="1:14">
      <c r="A31" t="str">
        <f ca="1">OFFSET($N$2,(ROW(31:31)-2)/35,0)</f>
        <v>北京市</v>
      </c>
      <c r="B31">
        <f ca="1">OFFSET($O$1,0,MOD(ROW(31:31)-2,35))</f>
        <v>2019</v>
      </c>
      <c r="C31">
        <f ca="1" t="shared" si="0"/>
        <v>0.494676</v>
      </c>
      <c r="D31">
        <f ca="1" t="shared" si="1"/>
        <v>9</v>
      </c>
      <c r="E31">
        <f ca="1" t="shared" si="2"/>
        <v>2</v>
      </c>
      <c r="F31">
        <f ca="1" t="shared" si="3"/>
        <v>0.8544868332</v>
      </c>
      <c r="G31">
        <f ca="1" t="shared" si="4"/>
        <v>0.09921716532</v>
      </c>
      <c r="H31">
        <f ca="1" t="shared" si="5"/>
        <v>1.0770580548</v>
      </c>
      <c r="I31">
        <f ca="1" t="shared" si="6"/>
        <v>2964</v>
      </c>
      <c r="J31">
        <f ca="1" t="shared" si="7"/>
        <v>316</v>
      </c>
      <c r="K31">
        <f ca="1" t="shared" si="8"/>
        <v>47887</v>
      </c>
      <c r="L31">
        <f ca="1" t="shared" si="9"/>
        <v>9024</v>
      </c>
      <c r="M31">
        <f ca="1" t="shared" si="10"/>
        <v>0.04069134108</v>
      </c>
      <c r="N31" s="4" t="s">
        <v>42</v>
      </c>
    </row>
    <row r="32" spans="1:14">
      <c r="A32" t="str">
        <f ca="1">OFFSET($N$2,(ROW(32:32)-2)/35,0)</f>
        <v>北京市</v>
      </c>
      <c r="B32">
        <f ca="1">OFFSET($O$1,0,MOD(ROW(32:32)-2,35))</f>
        <v>2020</v>
      </c>
      <c r="C32">
        <f ca="1" t="shared" si="0"/>
        <v>0.5253024</v>
      </c>
      <c r="D32">
        <f ca="1" t="shared" si="1"/>
        <v>9</v>
      </c>
      <c r="E32">
        <f ca="1" t="shared" si="2"/>
        <v>2</v>
      </c>
      <c r="F32">
        <f ca="1" t="shared" si="3"/>
        <v>1.02041742208</v>
      </c>
      <c r="G32">
        <f ca="1" t="shared" si="4"/>
        <v>0.125484237312</v>
      </c>
      <c r="H32">
        <f ca="1" t="shared" si="5"/>
        <v>1.08073089264</v>
      </c>
      <c r="I32">
        <f ca="1" t="shared" si="6"/>
        <v>2777</v>
      </c>
      <c r="J32">
        <f ca="1" t="shared" si="7"/>
        <v>452</v>
      </c>
      <c r="K32">
        <f ca="1" t="shared" si="8"/>
        <v>37708</v>
      </c>
      <c r="L32">
        <f ca="1" t="shared" si="9"/>
        <v>9893</v>
      </c>
      <c r="M32">
        <f ca="1" t="shared" si="10"/>
        <v>0.040272683712</v>
      </c>
      <c r="N32" s="4" t="s">
        <v>43</v>
      </c>
    </row>
    <row r="33" spans="1:13">
      <c r="A33" t="str">
        <f ca="1">OFFSET($N$2,(ROW(33:33)-2)/35,0)</f>
        <v>北京市</v>
      </c>
      <c r="B33">
        <f ca="1">OFFSET($O$1,0,MOD(ROW(33:33)-2,35))</f>
        <v>2021</v>
      </c>
      <c r="C33">
        <f ca="1" t="shared" si="0"/>
        <v>0.5396748</v>
      </c>
      <c r="D33">
        <f ca="1" t="shared" si="1"/>
        <v>9</v>
      </c>
      <c r="E33">
        <f ca="1" t="shared" si="2"/>
        <v>2</v>
      </c>
      <c r="F33">
        <f ca="1" t="shared" si="3"/>
        <v>1.06479636956</v>
      </c>
      <c r="G33">
        <f ca="1" t="shared" si="4"/>
        <v>0.124527261726</v>
      </c>
      <c r="H33">
        <f ca="1" t="shared" si="5"/>
        <v>1.12012203114</v>
      </c>
      <c r="I33">
        <f ca="1" t="shared" si="6"/>
        <v>3168</v>
      </c>
      <c r="J33">
        <f ca="1" t="shared" si="7"/>
        <v>537</v>
      </c>
      <c r="K33">
        <f ca="1" t="shared" si="8"/>
        <v>46324</v>
      </c>
      <c r="L33">
        <f ca="1" t="shared" si="9"/>
        <v>7500</v>
      </c>
      <c r="M33">
        <f ca="1" t="shared" si="10"/>
        <v>0.043160877612</v>
      </c>
    </row>
    <row r="34" spans="1:13">
      <c r="A34" t="str">
        <f ca="1">OFFSET($N$2,(ROW(34:34)-2)/35,0)</f>
        <v>北京市</v>
      </c>
      <c r="B34">
        <f ca="1">OFFSET($O$1,0,MOD(ROW(34:34)-2,35))</f>
        <v>2022</v>
      </c>
      <c r="C34">
        <f ca="1" t="shared" si="0"/>
        <v>0.54221832</v>
      </c>
      <c r="D34">
        <f ca="1" t="shared" si="1"/>
        <v>9</v>
      </c>
      <c r="E34">
        <f ca="1" t="shared" si="2"/>
        <v>2</v>
      </c>
      <c r="F34">
        <f ca="1" t="shared" si="3"/>
        <v>1.071676435536</v>
      </c>
      <c r="G34">
        <f ca="1" t="shared" si="4"/>
        <v>0.1122283478736</v>
      </c>
      <c r="H34">
        <f ca="1" t="shared" si="5"/>
        <v>1.350340504128</v>
      </c>
      <c r="I34">
        <f ca="1" t="shared" si="6"/>
        <v>2299</v>
      </c>
      <c r="J34">
        <f ca="1" t="shared" si="7"/>
        <v>400</v>
      </c>
      <c r="K34">
        <f ca="1" t="shared" si="8"/>
        <v>42843</v>
      </c>
      <c r="L34">
        <f ca="1" t="shared" si="9"/>
        <v>6515</v>
      </c>
      <c r="M34">
        <f ca="1" t="shared" si="10"/>
        <v>0.0449258862024</v>
      </c>
    </row>
    <row r="35" spans="1:13">
      <c r="A35" t="str">
        <f ca="1">OFFSET($N$2,(ROW(35:35)-2)/35,0)</f>
        <v>北京市</v>
      </c>
      <c r="B35">
        <f ca="1">OFFSET($O$1,0,MOD(ROW(35:35)-2,35))</f>
        <v>2023</v>
      </c>
      <c r="C35">
        <f ca="1" t="shared" si="0"/>
        <v>0.57463308</v>
      </c>
      <c r="D35">
        <f ca="1" t="shared" si="1"/>
        <v>9</v>
      </c>
      <c r="E35">
        <f ca="1" t="shared" si="2"/>
        <v>2</v>
      </c>
      <c r="F35">
        <f ca="1" t="shared" si="3"/>
        <v>0.9706510443</v>
      </c>
      <c r="G35">
        <f ca="1" t="shared" si="4"/>
        <v>0.1293585258042</v>
      </c>
      <c r="H35">
        <f ca="1" t="shared" si="5"/>
        <v>1.37035623753</v>
      </c>
      <c r="I35">
        <f ca="1" t="shared" si="6"/>
        <v>3160</v>
      </c>
      <c r="J35">
        <f ca="1" t="shared" si="7"/>
        <v>554</v>
      </c>
      <c r="K35">
        <f ca="1" t="shared" si="8"/>
        <v>37667</v>
      </c>
      <c r="L35">
        <f ca="1" t="shared" si="9"/>
        <v>9046</v>
      </c>
      <c r="M35">
        <f ca="1" t="shared" si="10"/>
        <v>0.0438756983712</v>
      </c>
    </row>
    <row r="36" spans="1:13">
      <c r="A36" t="str">
        <f ca="1">OFFSET($N$2,(ROW(36:36)-2)/35,0)</f>
        <v>北京市</v>
      </c>
      <c r="B36">
        <f ca="1">OFFSET($O$1,0,MOD(ROW(36:36)-2,35))</f>
        <v>2024</v>
      </c>
      <c r="C36">
        <f ca="1" t="shared" si="0"/>
        <v>0.56323344</v>
      </c>
      <c r="D36">
        <f ca="1" t="shared" si="1"/>
        <v>9</v>
      </c>
      <c r="E36">
        <f ca="1" t="shared" si="2"/>
        <v>2</v>
      </c>
      <c r="F36">
        <f ca="1" t="shared" si="3"/>
        <v>1.07540038144</v>
      </c>
      <c r="G36">
        <f ca="1" t="shared" si="4"/>
        <v>0.1312446561888</v>
      </c>
      <c r="H36">
        <f ca="1" t="shared" si="5"/>
        <v>1.248378758088</v>
      </c>
      <c r="I36">
        <f ca="1" t="shared" si="6"/>
        <v>3003</v>
      </c>
      <c r="J36">
        <f ca="1" t="shared" si="7"/>
        <v>306</v>
      </c>
      <c r="K36">
        <f ca="1" t="shared" si="8"/>
        <v>43959</v>
      </c>
      <c r="L36">
        <f ca="1" t="shared" si="9"/>
        <v>6830</v>
      </c>
      <c r="M36">
        <f ca="1" t="shared" si="10"/>
        <v>0.0456516795504</v>
      </c>
    </row>
    <row r="37" spans="1:13">
      <c r="A37" t="str">
        <f ca="1">OFFSET($N$2,(ROW(37:37)-2)/35,0)</f>
        <v>天津市</v>
      </c>
      <c r="B37">
        <f ca="1">OFFSET($O$1,0,MOD(ROW(37:37)-2,35))</f>
        <v>1990</v>
      </c>
      <c r="C37">
        <f ca="1" t="shared" si="0"/>
        <v>0.0901824</v>
      </c>
      <c r="D37">
        <f ca="1" t="shared" si="1"/>
        <v>3</v>
      </c>
      <c r="E37">
        <f ca="1" t="shared" si="2"/>
        <v>0</v>
      </c>
      <c r="F37">
        <f ca="1" t="shared" si="3"/>
        <v>0.15512274624</v>
      </c>
      <c r="G37">
        <f ca="1" t="shared" si="4"/>
        <v>0.022538385408</v>
      </c>
      <c r="H37">
        <f ca="1" t="shared" si="5"/>
        <v>0.1853699232</v>
      </c>
      <c r="I37">
        <f ca="1" t="shared" si="6"/>
        <v>519</v>
      </c>
      <c r="J37">
        <f ca="1" t="shared" si="7"/>
        <v>16</v>
      </c>
      <c r="K37">
        <f ca="1" t="shared" si="8"/>
        <v>10274</v>
      </c>
      <c r="L37">
        <f ca="1" t="shared" si="9"/>
        <v>1226</v>
      </c>
      <c r="M37">
        <f ca="1" t="shared" si="10"/>
        <v>0.007234947456</v>
      </c>
    </row>
    <row r="38" spans="1:13">
      <c r="A38" t="str">
        <f ca="1">OFFSET($N$2,(ROW(38:38)-2)/35,0)</f>
        <v>天津市</v>
      </c>
      <c r="B38">
        <f ca="1">OFFSET($O$1,0,MOD(ROW(38:38)-2,35))</f>
        <v>1991</v>
      </c>
      <c r="C38">
        <f ca="1" t="shared" si="0"/>
        <v>0.09435888</v>
      </c>
      <c r="D38">
        <f ca="1" t="shared" si="1"/>
        <v>3</v>
      </c>
      <c r="E38">
        <f ca="1" t="shared" si="2"/>
        <v>0</v>
      </c>
      <c r="F38">
        <f ca="1" t="shared" si="3"/>
        <v>0.170827316352</v>
      </c>
      <c r="G38">
        <f ca="1" t="shared" si="4"/>
        <v>0.0206617639536</v>
      </c>
      <c r="H38">
        <f ca="1" t="shared" si="5"/>
        <v>0.194313241584</v>
      </c>
      <c r="I38">
        <f ca="1" t="shared" si="6"/>
        <v>538</v>
      </c>
      <c r="J38">
        <f ca="1" t="shared" si="7"/>
        <v>12</v>
      </c>
      <c r="K38">
        <f ca="1" t="shared" si="8"/>
        <v>9282</v>
      </c>
      <c r="L38">
        <f ca="1" t="shared" si="9"/>
        <v>1622</v>
      </c>
      <c r="M38">
        <f ca="1" t="shared" si="10"/>
        <v>0.0069790523616</v>
      </c>
    </row>
    <row r="39" spans="1:13">
      <c r="A39" t="str">
        <f ca="1">OFFSET($N$2,(ROW(39:39)-2)/35,0)</f>
        <v>天津市</v>
      </c>
      <c r="B39">
        <f ca="1">OFFSET($O$1,0,MOD(ROW(39:39)-2,35))</f>
        <v>1992</v>
      </c>
      <c r="C39">
        <f ca="1" t="shared" si="0"/>
        <v>0.10757376</v>
      </c>
      <c r="D39">
        <f ca="1" t="shared" si="1"/>
        <v>3</v>
      </c>
      <c r="E39">
        <f ca="1" t="shared" si="2"/>
        <v>0</v>
      </c>
      <c r="F39">
        <f ca="1" t="shared" si="3"/>
        <v>0.1794688896</v>
      </c>
      <c r="G39">
        <f ca="1" t="shared" si="4"/>
        <v>0.0264136610304</v>
      </c>
      <c r="H39">
        <f ca="1" t="shared" si="5"/>
        <v>0.247457298816</v>
      </c>
      <c r="I39">
        <f ca="1" t="shared" si="6"/>
        <v>433</v>
      </c>
      <c r="J39">
        <f ca="1" t="shared" si="7"/>
        <v>12</v>
      </c>
      <c r="K39">
        <f ca="1" t="shared" si="8"/>
        <v>6757</v>
      </c>
      <c r="L39">
        <f ca="1" t="shared" si="9"/>
        <v>1930</v>
      </c>
      <c r="M39">
        <f ca="1" t="shared" si="10"/>
        <v>0.0077048937216</v>
      </c>
    </row>
    <row r="40" spans="1:13">
      <c r="A40" t="str">
        <f ca="1">OFFSET($N$2,(ROW(40:40)-2)/35,0)</f>
        <v>天津市</v>
      </c>
      <c r="B40">
        <f ca="1">OFFSET($O$1,0,MOD(ROW(40:40)-2,35))</f>
        <v>1993</v>
      </c>
      <c r="C40">
        <f ca="1" t="shared" si="0"/>
        <v>0.11069604</v>
      </c>
      <c r="D40">
        <f ca="1" t="shared" si="1"/>
        <v>3</v>
      </c>
      <c r="E40">
        <f ca="1" t="shared" si="2"/>
        <v>0</v>
      </c>
      <c r="F40">
        <f ca="1" t="shared" si="3"/>
        <v>0.215584227768</v>
      </c>
      <c r="G40">
        <f ca="1" t="shared" si="4"/>
        <v>0.0254174712246</v>
      </c>
      <c r="H40">
        <f ca="1" t="shared" si="5"/>
        <v>0.264829206096</v>
      </c>
      <c r="I40">
        <f ca="1" t="shared" si="6"/>
        <v>562</v>
      </c>
      <c r="J40">
        <f ca="1" t="shared" si="7"/>
        <v>17</v>
      </c>
      <c r="K40">
        <f ca="1" t="shared" si="8"/>
        <v>8074</v>
      </c>
      <c r="L40">
        <f ca="1" t="shared" si="9"/>
        <v>1628</v>
      </c>
      <c r="M40">
        <f ca="1" t="shared" si="10"/>
        <v>0.0094112191836</v>
      </c>
    </row>
    <row r="41" spans="1:13">
      <c r="A41" t="str">
        <f ca="1">OFFSET($N$2,(ROW(41:41)-2)/35,0)</f>
        <v>天津市</v>
      </c>
      <c r="B41">
        <f ca="1">OFFSET($O$1,0,MOD(ROW(41:41)-2,35))</f>
        <v>1994</v>
      </c>
      <c r="C41">
        <f ca="1" t="shared" si="0"/>
        <v>0.1260084</v>
      </c>
      <c r="D41">
        <f ca="1" t="shared" si="1"/>
        <v>3</v>
      </c>
      <c r="E41">
        <f ca="1" t="shared" si="2"/>
        <v>0</v>
      </c>
      <c r="F41">
        <f ca="1" t="shared" si="3"/>
        <v>0.22502160044</v>
      </c>
      <c r="G41">
        <f ca="1" t="shared" si="4"/>
        <v>0.027112597386</v>
      </c>
      <c r="H41">
        <f ca="1" t="shared" si="5"/>
        <v>0.28513180752</v>
      </c>
      <c r="I41">
        <f ca="1" t="shared" si="6"/>
        <v>689</v>
      </c>
      <c r="J41">
        <f ca="1" t="shared" si="7"/>
        <v>13</v>
      </c>
      <c r="K41">
        <f ca="1" t="shared" si="8"/>
        <v>8105</v>
      </c>
      <c r="L41">
        <f ca="1" t="shared" si="9"/>
        <v>2291</v>
      </c>
      <c r="M41">
        <f ca="1" t="shared" si="10"/>
        <v>0.009625961688</v>
      </c>
    </row>
    <row r="42" spans="1:13">
      <c r="A42" t="str">
        <f ca="1">OFFSET($N$2,(ROW(42:42)-2)/35,0)</f>
        <v>天津市</v>
      </c>
      <c r="B42">
        <f ca="1">OFFSET($O$1,0,MOD(ROW(42:42)-2,35))</f>
        <v>1995</v>
      </c>
      <c r="C42">
        <f ca="1" t="shared" si="0"/>
        <v>0.1276758</v>
      </c>
      <c r="D42">
        <f ca="1" t="shared" si="1"/>
        <v>4</v>
      </c>
      <c r="E42">
        <f ca="1" t="shared" si="2"/>
        <v>0</v>
      </c>
      <c r="F42">
        <f ca="1" t="shared" si="3"/>
        <v>0.21610831494</v>
      </c>
      <c r="G42">
        <f ca="1" t="shared" si="4"/>
        <v>0.028762804224</v>
      </c>
      <c r="H42">
        <f ca="1" t="shared" si="5"/>
        <v>0.30171068298</v>
      </c>
      <c r="I42">
        <f ca="1" t="shared" si="6"/>
        <v>710</v>
      </c>
      <c r="J42">
        <f ca="1" t="shared" si="7"/>
        <v>18</v>
      </c>
      <c r="K42">
        <f ca="1" t="shared" si="8"/>
        <v>12909</v>
      </c>
      <c r="L42">
        <f ca="1" t="shared" si="9"/>
        <v>1343</v>
      </c>
      <c r="M42">
        <f ca="1" t="shared" si="10"/>
        <v>0.01039007421</v>
      </c>
    </row>
    <row r="43" spans="1:13">
      <c r="A43" t="str">
        <f ca="1">OFFSET($N$2,(ROW(43:43)-2)/35,0)</f>
        <v>天津市</v>
      </c>
      <c r="B43">
        <f ca="1">OFFSET($O$1,0,MOD(ROW(43:43)-2,35))</f>
        <v>1996</v>
      </c>
      <c r="C43">
        <f ca="1" t="shared" si="0"/>
        <v>0.14191296</v>
      </c>
      <c r="D43">
        <f ca="1" t="shared" si="1"/>
        <v>4</v>
      </c>
      <c r="E43">
        <f ca="1" t="shared" si="2"/>
        <v>0</v>
      </c>
      <c r="F43">
        <f ca="1" t="shared" si="3"/>
        <v>0.24938837504</v>
      </c>
      <c r="G43">
        <f ca="1" t="shared" si="4"/>
        <v>0.0297534711936</v>
      </c>
      <c r="H43">
        <f ca="1" t="shared" si="5"/>
        <v>0.34314553728</v>
      </c>
      <c r="I43">
        <f ca="1" t="shared" si="6"/>
        <v>662</v>
      </c>
      <c r="J43">
        <f ca="1" t="shared" si="7"/>
        <v>24</v>
      </c>
      <c r="K43">
        <f ca="1" t="shared" si="8"/>
        <v>13616</v>
      </c>
      <c r="L43">
        <f ca="1" t="shared" si="9"/>
        <v>2784</v>
      </c>
      <c r="M43">
        <f ca="1" t="shared" si="10"/>
        <v>0.0110829967104</v>
      </c>
    </row>
    <row r="44" spans="1:13">
      <c r="A44" t="str">
        <f ca="1">OFFSET($N$2,(ROW(44:44)-2)/35,0)</f>
        <v>天津市</v>
      </c>
      <c r="B44">
        <f ca="1">OFFSET($O$1,0,MOD(ROW(44:44)-2,35))</f>
        <v>1997</v>
      </c>
      <c r="C44">
        <f ca="1" t="shared" si="0"/>
        <v>0.15549492</v>
      </c>
      <c r="D44">
        <f ca="1" t="shared" si="1"/>
        <v>4</v>
      </c>
      <c r="E44">
        <f ca="1" t="shared" si="2"/>
        <v>1</v>
      </c>
      <c r="F44">
        <f ca="1" t="shared" si="3"/>
        <v>0.277910887352</v>
      </c>
      <c r="G44">
        <f ca="1" t="shared" si="4"/>
        <v>0.0374346245154</v>
      </c>
      <c r="H44">
        <f ca="1" t="shared" si="5"/>
        <v>0.344545643736</v>
      </c>
      <c r="I44">
        <f ca="1" t="shared" si="6"/>
        <v>858</v>
      </c>
      <c r="J44">
        <f ca="1" t="shared" si="7"/>
        <v>16</v>
      </c>
      <c r="K44">
        <f ca="1" t="shared" si="8"/>
        <v>16693</v>
      </c>
      <c r="L44">
        <f ca="1" t="shared" si="9"/>
        <v>1657</v>
      </c>
      <c r="M44">
        <f ca="1" t="shared" si="10"/>
        <v>0.0132968148804</v>
      </c>
    </row>
    <row r="45" spans="1:13">
      <c r="A45" t="str">
        <f ca="1">OFFSET($N$2,(ROW(45:45)-2)/35,0)</f>
        <v>天津市</v>
      </c>
      <c r="B45">
        <f ca="1">OFFSET($O$1,0,MOD(ROW(45:45)-2,35))</f>
        <v>1998</v>
      </c>
      <c r="C45">
        <f ca="1" t="shared" si="0"/>
        <v>0.15440544</v>
      </c>
      <c r="D45">
        <f ca="1" t="shared" si="1"/>
        <v>5</v>
      </c>
      <c r="E45">
        <f ca="1" t="shared" si="2"/>
        <v>1</v>
      </c>
      <c r="F45">
        <f ca="1" t="shared" si="3"/>
        <v>0.294893803008</v>
      </c>
      <c r="G45">
        <f ca="1" t="shared" si="4"/>
        <v>0.0330921739008</v>
      </c>
      <c r="H45">
        <f ca="1" t="shared" si="5"/>
        <v>0.310671465552</v>
      </c>
      <c r="I45">
        <f ca="1" t="shared" si="6"/>
        <v>644</v>
      </c>
      <c r="J45">
        <f ca="1" t="shared" si="7"/>
        <v>27</v>
      </c>
      <c r="K45">
        <f ca="1" t="shared" si="8"/>
        <v>16752</v>
      </c>
      <c r="L45">
        <f ca="1" t="shared" si="9"/>
        <v>2567</v>
      </c>
      <c r="M45">
        <f ca="1" t="shared" si="10"/>
        <v>0.0131368148352</v>
      </c>
    </row>
    <row r="46" spans="1:13">
      <c r="A46" t="str">
        <f ca="1">OFFSET($N$2,(ROW(46:46)-2)/35,0)</f>
        <v>天津市</v>
      </c>
      <c r="B46">
        <f ca="1">OFFSET($O$1,0,MOD(ROW(46:46)-2,35))</f>
        <v>1999</v>
      </c>
      <c r="C46">
        <f ca="1" t="shared" si="0"/>
        <v>0.16951116</v>
      </c>
      <c r="D46">
        <f ca="1" t="shared" si="1"/>
        <v>5</v>
      </c>
      <c r="E46">
        <f ca="1" t="shared" si="2"/>
        <v>2</v>
      </c>
      <c r="F46">
        <f ca="1" t="shared" si="3"/>
        <v>0.305193542836</v>
      </c>
      <c r="G46">
        <f ca="1" t="shared" si="4"/>
        <v>0.0411988398822</v>
      </c>
      <c r="H46">
        <f ca="1" t="shared" si="5"/>
        <v>0.400436213268</v>
      </c>
      <c r="I46">
        <f ca="1" t="shared" si="6"/>
        <v>911</v>
      </c>
      <c r="J46">
        <f ca="1" t="shared" si="7"/>
        <v>23</v>
      </c>
      <c r="K46">
        <f ca="1" t="shared" si="8"/>
        <v>13389</v>
      </c>
      <c r="L46">
        <f ca="1" t="shared" si="9"/>
        <v>2721</v>
      </c>
      <c r="M46">
        <f ca="1" t="shared" si="10"/>
        <v>0.012551090604</v>
      </c>
    </row>
    <row r="47" spans="1:13">
      <c r="A47" t="str">
        <f ca="1">OFFSET($N$2,(ROW(47:47)-2)/35,0)</f>
        <v>天津市</v>
      </c>
      <c r="B47">
        <f ca="1">OFFSET($O$1,0,MOD(ROW(47:47)-2,35))</f>
        <v>2000</v>
      </c>
      <c r="C47">
        <f ca="1" t="shared" si="0"/>
        <v>0.1720824</v>
      </c>
      <c r="D47">
        <f ca="1" t="shared" si="1"/>
        <v>5</v>
      </c>
      <c r="E47">
        <f ca="1" t="shared" si="2"/>
        <v>2</v>
      </c>
      <c r="F47">
        <f ca="1" t="shared" si="3"/>
        <v>0.29564329928</v>
      </c>
      <c r="G47">
        <f ca="1" t="shared" si="4"/>
        <v>0.03565977534</v>
      </c>
      <c r="H47">
        <f ca="1" t="shared" si="5"/>
        <v>0.38032791636</v>
      </c>
      <c r="I47">
        <f ca="1" t="shared" si="6"/>
        <v>757</v>
      </c>
      <c r="J47">
        <f ca="1" t="shared" si="7"/>
        <v>25</v>
      </c>
      <c r="K47">
        <f ca="1" t="shared" si="8"/>
        <v>11214</v>
      </c>
      <c r="L47">
        <f ca="1" t="shared" si="9"/>
        <v>2577</v>
      </c>
      <c r="M47">
        <f ca="1" t="shared" si="10"/>
        <v>0.014518346256</v>
      </c>
    </row>
    <row r="48" spans="1:13">
      <c r="A48" t="str">
        <f ca="1">OFFSET($N$2,(ROW(48:48)-2)/35,0)</f>
        <v>天津市</v>
      </c>
      <c r="B48">
        <f ca="1">OFFSET($O$1,0,MOD(ROW(48:48)-2,35))</f>
        <v>2001</v>
      </c>
      <c r="C48">
        <f ca="1" t="shared" si="0"/>
        <v>0.1771056</v>
      </c>
      <c r="D48">
        <f ca="1" t="shared" si="1"/>
        <v>6</v>
      </c>
      <c r="E48">
        <f ca="1" t="shared" si="2"/>
        <v>2</v>
      </c>
      <c r="F48">
        <f ca="1" t="shared" si="3"/>
        <v>0.3116173032</v>
      </c>
      <c r="G48">
        <f ca="1" t="shared" si="4"/>
        <v>0.040253446296</v>
      </c>
      <c r="H48">
        <f ca="1" t="shared" si="5"/>
        <v>0.42028929936</v>
      </c>
      <c r="I48">
        <f ca="1" t="shared" si="6"/>
        <v>752</v>
      </c>
      <c r="J48">
        <f ca="1" t="shared" si="7"/>
        <v>34</v>
      </c>
      <c r="K48">
        <f ca="1" t="shared" si="8"/>
        <v>12717</v>
      </c>
      <c r="L48">
        <f ca="1" t="shared" si="9"/>
        <v>2463</v>
      </c>
      <c r="M48">
        <f ca="1" t="shared" si="10"/>
        <v>0.014637018816</v>
      </c>
    </row>
    <row r="49" spans="1:13">
      <c r="A49" t="str">
        <f ca="1">OFFSET($N$2,(ROW(49:49)-2)/35,0)</f>
        <v>天津市</v>
      </c>
      <c r="B49">
        <f ca="1">OFFSET($O$1,0,MOD(ROW(49:49)-2,35))</f>
        <v>2002</v>
      </c>
      <c r="C49">
        <f ca="1" t="shared" si="0"/>
        <v>0.20019384</v>
      </c>
      <c r="D49">
        <f ca="1" t="shared" si="1"/>
        <v>7</v>
      </c>
      <c r="E49">
        <f ca="1" t="shared" si="2"/>
        <v>2</v>
      </c>
      <c r="F49">
        <f ca="1" t="shared" si="3"/>
        <v>0.370385296512</v>
      </c>
      <c r="G49">
        <f ca="1" t="shared" si="4"/>
        <v>0.049838256468</v>
      </c>
      <c r="H49">
        <f ca="1" t="shared" si="5"/>
        <v>0.471997016568</v>
      </c>
      <c r="I49">
        <f ca="1" t="shared" si="6"/>
        <v>873</v>
      </c>
      <c r="J49">
        <f ca="1" t="shared" si="7"/>
        <v>22</v>
      </c>
      <c r="K49">
        <f ca="1" t="shared" si="8"/>
        <v>14619</v>
      </c>
      <c r="L49">
        <f ca="1" t="shared" si="9"/>
        <v>3825</v>
      </c>
      <c r="M49">
        <f ca="1" t="shared" si="10"/>
        <v>0.0166878725112</v>
      </c>
    </row>
    <row r="50" spans="1:13">
      <c r="A50" t="str">
        <f ca="1">OFFSET($N$2,(ROW(50:50)-2)/35,0)</f>
        <v>天津市</v>
      </c>
      <c r="B50">
        <f ca="1">OFFSET($O$1,0,MOD(ROW(50:50)-2,35))</f>
        <v>2003</v>
      </c>
      <c r="C50">
        <f ca="1" t="shared" si="0"/>
        <v>0.20712972</v>
      </c>
      <c r="D50">
        <f ca="1" t="shared" si="1"/>
        <v>7</v>
      </c>
      <c r="E50">
        <f ca="1" t="shared" si="2"/>
        <v>2</v>
      </c>
      <c r="F50">
        <f ca="1" t="shared" si="3"/>
        <v>0.37901286598</v>
      </c>
      <c r="G50">
        <f ca="1" t="shared" si="4"/>
        <v>0.0475652689008</v>
      </c>
      <c r="H50">
        <f ca="1" t="shared" si="5"/>
        <v>0.427536455052</v>
      </c>
      <c r="I50">
        <f ca="1" t="shared" si="6"/>
        <v>1015</v>
      </c>
      <c r="J50">
        <f ca="1" t="shared" si="7"/>
        <v>29</v>
      </c>
      <c r="K50">
        <f ca="1" t="shared" si="8"/>
        <v>20753</v>
      </c>
      <c r="L50">
        <f ca="1" t="shared" si="9"/>
        <v>2906</v>
      </c>
      <c r="M50">
        <f ca="1" t="shared" si="10"/>
        <v>0.0169778313492</v>
      </c>
    </row>
    <row r="51" spans="1:13">
      <c r="A51" t="str">
        <f ca="1">OFFSET($N$2,(ROW(51:51)-2)/35,0)</f>
        <v>天津市</v>
      </c>
      <c r="B51">
        <f ca="1">OFFSET($O$1,0,MOD(ROW(51:51)-2,35))</f>
        <v>2004</v>
      </c>
      <c r="C51">
        <f ca="1" t="shared" si="0"/>
        <v>0.21980448</v>
      </c>
      <c r="D51">
        <f ca="1" t="shared" si="1"/>
        <v>7</v>
      </c>
      <c r="E51">
        <f ca="1" t="shared" si="2"/>
        <v>2</v>
      </c>
      <c r="F51">
        <f ca="1" t="shared" si="3"/>
        <v>0.431652037824</v>
      </c>
      <c r="G51">
        <f ca="1" t="shared" si="4"/>
        <v>0.053747690472</v>
      </c>
      <c r="H51">
        <f ca="1" t="shared" si="5"/>
        <v>0.462622489056</v>
      </c>
      <c r="I51">
        <f ca="1" t="shared" si="6"/>
        <v>1200</v>
      </c>
      <c r="J51">
        <f ca="1" t="shared" si="7"/>
        <v>28</v>
      </c>
      <c r="K51">
        <f ca="1" t="shared" si="8"/>
        <v>22653</v>
      </c>
      <c r="L51">
        <f ca="1" t="shared" si="9"/>
        <v>3453</v>
      </c>
      <c r="M51">
        <f ca="1" t="shared" si="10"/>
        <v>0.0167783039712</v>
      </c>
    </row>
    <row r="52" spans="1:13">
      <c r="A52" t="str">
        <f ca="1">OFFSET($N$2,(ROW(52:52)-2)/35,0)</f>
        <v>天津市</v>
      </c>
      <c r="B52">
        <f ca="1">OFFSET($O$1,0,MOD(ROW(52:52)-2,35))</f>
        <v>2005</v>
      </c>
      <c r="C52">
        <f ca="1" t="shared" si="0"/>
        <v>0.222873</v>
      </c>
      <c r="D52">
        <f ca="1" t="shared" si="1"/>
        <v>8</v>
      </c>
      <c r="E52">
        <f ca="1" t="shared" si="2"/>
        <v>2</v>
      </c>
      <c r="F52">
        <f ca="1" t="shared" si="3"/>
        <v>0.4179537369</v>
      </c>
      <c r="G52">
        <f ca="1" t="shared" si="4"/>
        <v>0.047145440055</v>
      </c>
      <c r="H52">
        <f ca="1" t="shared" si="5"/>
        <v>0.47542153995</v>
      </c>
      <c r="I52">
        <f ca="1" t="shared" si="6"/>
        <v>1279</v>
      </c>
      <c r="J52">
        <f ca="1" t="shared" si="7"/>
        <v>38</v>
      </c>
      <c r="K52">
        <f ca="1" t="shared" si="8"/>
        <v>24513</v>
      </c>
      <c r="L52">
        <f ca="1" t="shared" si="9"/>
        <v>3132</v>
      </c>
      <c r="M52">
        <f ca="1" t="shared" si="10"/>
        <v>0.01651870998</v>
      </c>
    </row>
    <row r="53" spans="1:13">
      <c r="A53" t="str">
        <f ca="1">OFFSET($N$2,(ROW(53:53)-2)/35,0)</f>
        <v>天津市</v>
      </c>
      <c r="B53">
        <f ca="1">OFFSET($O$1,0,MOD(ROW(53:53)-2,35))</f>
        <v>2006</v>
      </c>
      <c r="C53">
        <f ca="1" t="shared" si="0"/>
        <v>0.22119552</v>
      </c>
      <c r="D53">
        <f ca="1" t="shared" si="1"/>
        <v>9</v>
      </c>
      <c r="E53">
        <f ca="1" t="shared" si="2"/>
        <v>2</v>
      </c>
      <c r="F53">
        <f ca="1" t="shared" si="3"/>
        <v>0.40121180736</v>
      </c>
      <c r="G53">
        <f ca="1" t="shared" si="4"/>
        <v>0.049171764096</v>
      </c>
      <c r="H53">
        <f ca="1" t="shared" si="5"/>
        <v>0.4763998512</v>
      </c>
      <c r="I53">
        <f ca="1" t="shared" si="6"/>
        <v>1171</v>
      </c>
      <c r="J53">
        <f ca="1" t="shared" si="7"/>
        <v>22</v>
      </c>
      <c r="K53">
        <f ca="1" t="shared" si="8"/>
        <v>21486</v>
      </c>
      <c r="L53">
        <f ca="1" t="shared" si="9"/>
        <v>4373</v>
      </c>
      <c r="M53">
        <f ca="1" t="shared" si="10"/>
        <v>0.0179882516736</v>
      </c>
    </row>
    <row r="54" spans="1:13">
      <c r="A54" t="str">
        <f ca="1">OFFSET($N$2,(ROW(54:54)-2)/35,0)</f>
        <v>天津市</v>
      </c>
      <c r="B54">
        <f ca="1">OFFSET($O$1,0,MOD(ROW(54:54)-2,35))</f>
        <v>2007</v>
      </c>
      <c r="C54">
        <f ca="1" t="shared" si="0"/>
        <v>0.24444504</v>
      </c>
      <c r="D54">
        <f ca="1" t="shared" si="1"/>
        <v>9</v>
      </c>
      <c r="E54">
        <f ca="1" t="shared" si="2"/>
        <v>2</v>
      </c>
      <c r="F54">
        <f ca="1" t="shared" si="3"/>
        <v>0.438803291304</v>
      </c>
      <c r="G54">
        <f ca="1" t="shared" si="4"/>
        <v>0.0541910209176</v>
      </c>
      <c r="H54">
        <f ca="1" t="shared" si="5"/>
        <v>0.577452517992</v>
      </c>
      <c r="I54">
        <f ca="1" t="shared" si="6"/>
        <v>1458</v>
      </c>
      <c r="J54">
        <f ca="1" t="shared" si="7"/>
        <v>47</v>
      </c>
      <c r="K54">
        <f ca="1" t="shared" si="8"/>
        <v>25522</v>
      </c>
      <c r="L54">
        <f ca="1" t="shared" si="9"/>
        <v>3986</v>
      </c>
      <c r="M54">
        <f ca="1" t="shared" si="10"/>
        <v>0.01787940864</v>
      </c>
    </row>
    <row r="55" spans="1:13">
      <c r="A55" t="str">
        <f ca="1">OFFSET($N$2,(ROW(55:55)-2)/35,0)</f>
        <v>天津市</v>
      </c>
      <c r="B55">
        <f ca="1">OFFSET($O$1,0,MOD(ROW(55:55)-2,35))</f>
        <v>2008</v>
      </c>
      <c r="C55">
        <f ca="1" t="shared" si="0"/>
        <v>0.24079776</v>
      </c>
      <c r="D55">
        <f ca="1" t="shared" si="1"/>
        <v>9</v>
      </c>
      <c r="E55">
        <f ca="1" t="shared" si="2"/>
        <v>2</v>
      </c>
      <c r="F55">
        <f ca="1" t="shared" si="3"/>
        <v>0.408015751136</v>
      </c>
      <c r="G55">
        <f ca="1" t="shared" si="4"/>
        <v>0.0502280047584</v>
      </c>
      <c r="H55">
        <f ca="1" t="shared" si="5"/>
        <v>0.515776762032</v>
      </c>
      <c r="I55">
        <f ca="1" t="shared" si="6"/>
        <v>1317</v>
      </c>
      <c r="J55">
        <f ca="1" t="shared" si="7"/>
        <v>44</v>
      </c>
      <c r="K55">
        <f ca="1" t="shared" si="8"/>
        <v>15949</v>
      </c>
      <c r="L55">
        <f ca="1" t="shared" si="9"/>
        <v>4520</v>
      </c>
      <c r="M55">
        <f ca="1" t="shared" si="10"/>
        <v>0.0176728356</v>
      </c>
    </row>
    <row r="56" spans="1:13">
      <c r="A56" t="str">
        <f ca="1">OFFSET($N$2,(ROW(56:56)-2)/35,0)</f>
        <v>天津市</v>
      </c>
      <c r="B56">
        <f ca="1">OFFSET($O$1,0,MOD(ROW(56:56)-2,35))</f>
        <v>2009</v>
      </c>
      <c r="C56">
        <f ca="1" t="shared" si="0"/>
        <v>0.25290552</v>
      </c>
      <c r="D56">
        <f ca="1" t="shared" si="1"/>
        <v>9</v>
      </c>
      <c r="E56">
        <f ca="1" t="shared" si="2"/>
        <v>2</v>
      </c>
      <c r="F56">
        <f ca="1" t="shared" si="3"/>
        <v>0.460760136704</v>
      </c>
      <c r="G56">
        <f ca="1" t="shared" si="4"/>
        <v>0.0511653157512</v>
      </c>
      <c r="H56">
        <f ca="1" t="shared" si="5"/>
        <v>0.546832315344</v>
      </c>
      <c r="I56">
        <f ca="1" t="shared" si="6"/>
        <v>1322</v>
      </c>
      <c r="J56">
        <f ca="1" t="shared" si="7"/>
        <v>37</v>
      </c>
      <c r="K56">
        <f ca="1" t="shared" si="8"/>
        <v>18796</v>
      </c>
      <c r="L56">
        <f ca="1" t="shared" si="9"/>
        <v>3098</v>
      </c>
      <c r="M56">
        <f ca="1" t="shared" si="10"/>
        <v>0.0187684799328</v>
      </c>
    </row>
    <row r="57" spans="1:13">
      <c r="A57" t="str">
        <f ca="1">OFFSET($N$2,(ROW(57:57)-2)/35,0)</f>
        <v>天津市</v>
      </c>
      <c r="B57">
        <f ca="1">OFFSET($O$1,0,MOD(ROW(57:57)-2,35))</f>
        <v>2010</v>
      </c>
      <c r="C57">
        <f ca="1" t="shared" si="0"/>
        <v>0.2731176</v>
      </c>
      <c r="D57">
        <f ca="1" t="shared" si="1"/>
        <v>9</v>
      </c>
      <c r="E57">
        <f ca="1" t="shared" si="2"/>
        <v>2</v>
      </c>
      <c r="F57">
        <f ca="1" t="shared" si="3"/>
        <v>0.53634834288</v>
      </c>
      <c r="G57">
        <f ca="1" t="shared" si="4"/>
        <v>0.066950682876</v>
      </c>
      <c r="H57">
        <f ca="1" t="shared" si="5"/>
        <v>0.63379670256</v>
      </c>
      <c r="I57">
        <f ca="1" t="shared" si="6"/>
        <v>1271</v>
      </c>
      <c r="J57">
        <f ca="1" t="shared" si="7"/>
        <v>41</v>
      </c>
      <c r="K57">
        <f ca="1" t="shared" si="8"/>
        <v>29711</v>
      </c>
      <c r="L57">
        <f ca="1" t="shared" si="9"/>
        <v>4027</v>
      </c>
      <c r="M57">
        <f ca="1" t="shared" si="10"/>
        <v>0.0229613868</v>
      </c>
    </row>
    <row r="58" spans="1:13">
      <c r="A58" t="str">
        <f ca="1">OFFSET($N$2,(ROW(58:58)-2)/35,0)</f>
        <v>天津市</v>
      </c>
      <c r="B58">
        <f ca="1">OFFSET($O$1,0,MOD(ROW(58:58)-2,35))</f>
        <v>2011</v>
      </c>
      <c r="C58">
        <f ca="1" t="shared" si="0"/>
        <v>0.27466992</v>
      </c>
      <c r="D58">
        <f ca="1" t="shared" si="1"/>
        <v>9</v>
      </c>
      <c r="E58">
        <f ca="1" t="shared" si="2"/>
        <v>2</v>
      </c>
      <c r="F58">
        <f ca="1" t="shared" si="3"/>
        <v>0.495193243104</v>
      </c>
      <c r="G58">
        <f ca="1" t="shared" si="4"/>
        <v>0.0682705819656</v>
      </c>
      <c r="H58">
        <f ca="1" t="shared" si="5"/>
        <v>0.60585317604</v>
      </c>
      <c r="I58">
        <f ca="1" t="shared" si="6"/>
        <v>1628</v>
      </c>
      <c r="J58">
        <f ca="1" t="shared" si="7"/>
        <v>54</v>
      </c>
      <c r="K58">
        <f ca="1" t="shared" si="8"/>
        <v>25007</v>
      </c>
      <c r="L58">
        <f ca="1" t="shared" si="9"/>
        <v>3173</v>
      </c>
      <c r="M58">
        <f ca="1" t="shared" si="10"/>
        <v>0.0223455751488</v>
      </c>
    </row>
    <row r="59" spans="1:13">
      <c r="A59" t="str">
        <f ca="1">OFFSET($N$2,(ROW(59:59)-2)/35,0)</f>
        <v>天津市</v>
      </c>
      <c r="B59">
        <f ca="1">OFFSET($O$1,0,MOD(ROW(59:59)-2,35))</f>
        <v>2012</v>
      </c>
      <c r="C59">
        <f ca="1" t="shared" si="0"/>
        <v>0.29452416</v>
      </c>
      <c r="D59">
        <f ca="1" t="shared" si="1"/>
        <v>10</v>
      </c>
      <c r="E59">
        <f ca="1" t="shared" si="2"/>
        <v>2</v>
      </c>
      <c r="F59">
        <f ca="1" t="shared" si="3"/>
        <v>0.50402901248</v>
      </c>
      <c r="G59">
        <f ca="1" t="shared" si="4"/>
        <v>0.071562007776</v>
      </c>
      <c r="H59">
        <f ca="1" t="shared" si="5"/>
        <v>0.703677123072</v>
      </c>
      <c r="I59">
        <f ca="1" t="shared" si="6"/>
        <v>1201</v>
      </c>
      <c r="J59">
        <f ca="1" t="shared" si="7"/>
        <v>43</v>
      </c>
      <c r="K59">
        <f ca="1" t="shared" si="8"/>
        <v>20593</v>
      </c>
      <c r="L59">
        <f ca="1" t="shared" si="9"/>
        <v>4676</v>
      </c>
      <c r="M59">
        <f ca="1" t="shared" si="10"/>
        <v>0.0250151991552</v>
      </c>
    </row>
    <row r="60" spans="1:13">
      <c r="A60" t="str">
        <f ca="1">OFFSET($N$2,(ROW(60:60)-2)/35,0)</f>
        <v>天津市</v>
      </c>
      <c r="B60">
        <f ca="1">OFFSET($O$1,0,MOD(ROW(60:60)-2,35))</f>
        <v>2013</v>
      </c>
      <c r="C60">
        <f ca="1" t="shared" si="0"/>
        <v>0.28753956</v>
      </c>
      <c r="D60">
        <f ca="1" t="shared" si="1"/>
        <v>11</v>
      </c>
      <c r="E60">
        <f ca="1" t="shared" si="2"/>
        <v>2</v>
      </c>
      <c r="F60">
        <f ca="1" t="shared" si="3"/>
        <v>0.571734076452</v>
      </c>
      <c r="G60">
        <f ca="1" t="shared" si="4"/>
        <v>0.0603286750836</v>
      </c>
      <c r="H60">
        <f ca="1" t="shared" si="5"/>
        <v>0.608750002476</v>
      </c>
      <c r="I60">
        <f ca="1" t="shared" si="6"/>
        <v>1592</v>
      </c>
      <c r="J60">
        <f ca="1" t="shared" si="7"/>
        <v>44</v>
      </c>
      <c r="K60">
        <f ca="1" t="shared" si="8"/>
        <v>22128</v>
      </c>
      <c r="L60">
        <f ca="1" t="shared" si="9"/>
        <v>4929</v>
      </c>
      <c r="M60">
        <f ca="1" t="shared" si="10"/>
        <v>0.0218004278976</v>
      </c>
    </row>
    <row r="61" spans="1:13">
      <c r="A61" t="str">
        <f ca="1">OFFSET($N$2,(ROW(61:61)-2)/35,0)</f>
        <v>天津市</v>
      </c>
      <c r="B61">
        <f ca="1">OFFSET($O$1,0,MOD(ROW(61:61)-2,35))</f>
        <v>2014</v>
      </c>
      <c r="C61">
        <f ca="1" t="shared" si="0"/>
        <v>0.2987376</v>
      </c>
      <c r="D61">
        <f ca="1" t="shared" si="1"/>
        <v>11</v>
      </c>
      <c r="E61">
        <f ca="1" t="shared" si="2"/>
        <v>2</v>
      </c>
      <c r="F61">
        <f ca="1" t="shared" si="3"/>
        <v>0.583285164</v>
      </c>
      <c r="G61">
        <f ca="1" t="shared" si="4"/>
        <v>0.063262167864</v>
      </c>
      <c r="H61">
        <f ca="1" t="shared" si="5"/>
        <v>0.74436447792</v>
      </c>
      <c r="I61">
        <f ca="1" t="shared" si="6"/>
        <v>1603</v>
      </c>
      <c r="J61">
        <f ca="1" t="shared" si="7"/>
        <v>30</v>
      </c>
      <c r="K61">
        <f ca="1" t="shared" si="8"/>
        <v>18978</v>
      </c>
      <c r="L61">
        <f ca="1" t="shared" si="9"/>
        <v>5215</v>
      </c>
      <c r="M61">
        <f ca="1" t="shared" si="10"/>
        <v>0.023852917056</v>
      </c>
    </row>
    <row r="62" spans="1:13">
      <c r="A62" t="str">
        <f ca="1">OFFSET($N$2,(ROW(62:62)-2)/35,0)</f>
        <v>天津市</v>
      </c>
      <c r="B62">
        <f ca="1">OFFSET($O$1,0,MOD(ROW(62:62)-2,35))</f>
        <v>2015</v>
      </c>
      <c r="C62">
        <f ca="1" t="shared" si="0"/>
        <v>0.309435</v>
      </c>
      <c r="D62">
        <f ca="1" t="shared" si="1"/>
        <v>11</v>
      </c>
      <c r="E62">
        <f ca="1" t="shared" si="2"/>
        <v>2</v>
      </c>
      <c r="F62">
        <f ca="1" t="shared" si="3"/>
        <v>0.6076375095</v>
      </c>
      <c r="G62">
        <f ca="1" t="shared" si="4"/>
        <v>0.0621407367</v>
      </c>
      <c r="H62">
        <f ca="1" t="shared" si="5"/>
        <v>0.7262748885</v>
      </c>
      <c r="I62">
        <f ca="1" t="shared" si="6"/>
        <v>1382</v>
      </c>
      <c r="J62">
        <f ca="1" t="shared" si="7"/>
        <v>86</v>
      </c>
      <c r="K62">
        <f ca="1" t="shared" si="8"/>
        <v>26323</v>
      </c>
      <c r="L62">
        <f ca="1" t="shared" si="9"/>
        <v>5206</v>
      </c>
      <c r="M62">
        <f ca="1" t="shared" si="10"/>
        <v>0.0222828564</v>
      </c>
    </row>
    <row r="63" spans="1:13">
      <c r="A63" t="str">
        <f ca="1">OFFSET($N$2,(ROW(63:63)-2)/35,0)</f>
        <v>天津市</v>
      </c>
      <c r="B63">
        <f ca="1">OFFSET($O$1,0,MOD(ROW(63:63)-2,35))</f>
        <v>2016</v>
      </c>
      <c r="C63">
        <f ca="1" t="shared" si="0"/>
        <v>0.30324672</v>
      </c>
      <c r="D63">
        <f ca="1" t="shared" si="1"/>
        <v>11</v>
      </c>
      <c r="E63">
        <f ca="1" t="shared" si="2"/>
        <v>2</v>
      </c>
      <c r="F63">
        <f ca="1" t="shared" si="3"/>
        <v>0.5771795904</v>
      </c>
      <c r="G63">
        <f ca="1" t="shared" si="4"/>
        <v>0.0618441360768</v>
      </c>
      <c r="H63">
        <f ca="1" t="shared" si="5"/>
        <v>0.678180964608</v>
      </c>
      <c r="I63">
        <f ca="1" t="shared" si="6"/>
        <v>1732</v>
      </c>
      <c r="J63">
        <f ca="1" t="shared" si="7"/>
        <v>78</v>
      </c>
      <c r="K63">
        <f ca="1" t="shared" si="8"/>
        <v>18708</v>
      </c>
      <c r="L63">
        <f ca="1" t="shared" si="9"/>
        <v>4267</v>
      </c>
      <c r="M63">
        <f ca="1" t="shared" si="10"/>
        <v>0.0243602422272</v>
      </c>
    </row>
    <row r="64" spans="1:13">
      <c r="A64" t="str">
        <f ca="1">OFFSET($N$2,(ROW(64:64)-2)/35,0)</f>
        <v>天津市</v>
      </c>
      <c r="B64">
        <f ca="1">OFFSET($O$1,0,MOD(ROW(64:64)-2,35))</f>
        <v>2017</v>
      </c>
      <c r="C64">
        <f ca="1" t="shared" si="0"/>
        <v>0.32254824</v>
      </c>
      <c r="D64">
        <f ca="1" t="shared" si="1"/>
        <v>11</v>
      </c>
      <c r="E64">
        <f ca="1" t="shared" si="2"/>
        <v>2</v>
      </c>
      <c r="F64">
        <f ca="1" t="shared" si="3"/>
        <v>0.614045836096</v>
      </c>
      <c r="G64">
        <f ca="1" t="shared" si="4"/>
        <v>0.0700510267632</v>
      </c>
      <c r="H64">
        <f ca="1" t="shared" si="5"/>
        <v>0.715299104436</v>
      </c>
      <c r="I64">
        <f ca="1" t="shared" si="6"/>
        <v>1386</v>
      </c>
      <c r="J64">
        <f ca="1" t="shared" si="7"/>
        <v>49</v>
      </c>
      <c r="K64">
        <f ca="1" t="shared" si="8"/>
        <v>28700</v>
      </c>
      <c r="L64">
        <f ca="1" t="shared" si="9"/>
        <v>4575</v>
      </c>
      <c r="M64">
        <f ca="1" t="shared" si="10"/>
        <v>0.024589695468</v>
      </c>
    </row>
    <row r="65" spans="1:13">
      <c r="A65" t="str">
        <f ca="1">OFFSET($N$2,(ROW(65:65)-2)/35,0)</f>
        <v>天津市</v>
      </c>
      <c r="B65">
        <f ca="1">OFFSET($O$1,0,MOD(ROW(65:65)-2,35))</f>
        <v>2018</v>
      </c>
      <c r="C65">
        <f ca="1" t="shared" si="0"/>
        <v>0.34933248</v>
      </c>
      <c r="D65">
        <f ca="1" t="shared" si="1"/>
        <v>11</v>
      </c>
      <c r="E65">
        <f ca="1" t="shared" si="2"/>
        <v>2</v>
      </c>
      <c r="F65">
        <f ca="1" t="shared" si="3"/>
        <v>0.606685718016</v>
      </c>
      <c r="G65">
        <f ca="1" t="shared" si="4"/>
        <v>0.085490391168</v>
      </c>
      <c r="H65">
        <f ca="1" t="shared" si="5"/>
        <v>0.765859062528</v>
      </c>
      <c r="I65">
        <f ca="1" t="shared" si="6"/>
        <v>1406</v>
      </c>
      <c r="J65">
        <f ca="1" t="shared" si="7"/>
        <v>325</v>
      </c>
      <c r="K65">
        <f ca="1" t="shared" si="8"/>
        <v>25194</v>
      </c>
      <c r="L65">
        <f ca="1" t="shared" si="9"/>
        <v>3652</v>
      </c>
      <c r="M65">
        <f ca="1" t="shared" si="10"/>
        <v>0.0287894877696</v>
      </c>
    </row>
    <row r="66" spans="1:13">
      <c r="A66" t="str">
        <f ca="1">OFFSET($N$2,(ROW(66:66)-2)/35,0)</f>
        <v>天津市</v>
      </c>
      <c r="B66">
        <f ca="1">OFFSET($O$1,0,MOD(ROW(66:66)-2,35))</f>
        <v>2019</v>
      </c>
      <c r="C66">
        <f ca="1" t="shared" si="0"/>
        <v>0.35354592</v>
      </c>
      <c r="D66">
        <f ca="1" t="shared" si="1"/>
        <v>11</v>
      </c>
      <c r="E66">
        <f ca="1" t="shared" si="2"/>
        <v>2</v>
      </c>
      <c r="F66">
        <f ca="1" t="shared" si="3"/>
        <v>0.665526624672</v>
      </c>
      <c r="G66">
        <f ca="1" t="shared" si="4"/>
        <v>0.0819466410672</v>
      </c>
      <c r="H66">
        <f ca="1" t="shared" si="5"/>
        <v>0.73113296256</v>
      </c>
      <c r="I66">
        <f ca="1" t="shared" si="6"/>
        <v>1510</v>
      </c>
      <c r="J66">
        <f ca="1" t="shared" si="7"/>
        <v>330</v>
      </c>
      <c r="K66">
        <f ca="1" t="shared" si="8"/>
        <v>36554</v>
      </c>
      <c r="L66">
        <f ca="1" t="shared" si="9"/>
        <v>4316</v>
      </c>
      <c r="M66">
        <f ca="1" t="shared" si="10"/>
        <v>0.0258452168832</v>
      </c>
    </row>
    <row r="67" spans="1:13">
      <c r="A67" t="str">
        <f ca="1">OFFSET($N$2,(ROW(67:67)-2)/35,0)</f>
        <v>天津市</v>
      </c>
      <c r="B67">
        <f ca="1">OFFSET($O$1,0,MOD(ROW(67:67)-2,35))</f>
        <v>2020</v>
      </c>
      <c r="C67">
        <f ca="1" t="shared" ref="C67:C130" si="11">IF(OR(A67="北京市",A67="上海市",A67="广东省"),(B67-1980)*RANDBETWEEN(15000,16000)/500000,IF(OR(A67="西藏自治区",A67="新疆维吾尔自治区",A67="青海省",A67="广西壮族自治区",A67="内蒙古自治区",A67="宁夏回族自治区",A67="贵州省",A67="甘肃省",A67="陕西省",A67="云南省"),(B67-1980)*RANDBETWEEN(7000,8000)/500000,IF(OR(A67="浙江省",A67="江苏省",A67="山东省",A67="辽宁省"),(B67-1980)*RANDBETWEEN(13000,14000)/500000,(B67-1980)*RANDBETWEEN(10000,11000)/500000)))*0.42</f>
        <v>0.363216</v>
      </c>
      <c r="D67">
        <f ca="1" t="shared" ref="D67:D130" si="12">IF($B67=1990,ROUND($C67*RANDBETWEEN(10000,20000)/500,0),ROUND(D66+RANDBETWEEN(0,5)/10,0))</f>
        <v>11</v>
      </c>
      <c r="E67">
        <f ca="1" t="shared" ref="E67:E130" si="13">IF($B67=1990,ROUND($C67*RANDBETWEEN(10000,20000)/5000,0),ROUND(E66+RANDBETWEEN(0,20)/40,0))</f>
        <v>2</v>
      </c>
      <c r="F67">
        <f ca="1" t="shared" ref="F67:F130" si="14">$C67*RANDBETWEEN(50000,60000)/30000</f>
        <v>0.692047552</v>
      </c>
      <c r="G67">
        <f ca="1" t="shared" ref="G67:G130" si="15">$C67*RANDBETWEEN(40000,50000)/200000</f>
        <v>0.08871369192</v>
      </c>
      <c r="H67">
        <f ca="1" t="shared" ref="H67:H130" si="16">$C67*RANDBETWEEN(40000,50000)/20000</f>
        <v>0.8657434968</v>
      </c>
      <c r="I67">
        <f ca="1" t="shared" ref="I67:I130" si="17">ROUND($C67*RANDBETWEEN(20000,30000)/5,0)</f>
        <v>1580</v>
      </c>
      <c r="J67">
        <f ca="1" t="shared" ref="J67:J130" si="18">IF(B67&lt;2015,ROUND($C67*RANDBETWEEN(10000,20000)/100,0),IF(B67&lt;2018,ROUND($C67*RANDBETWEEN(10000,20000)/70,0),ROUND($C67*RANDBETWEEN(10000,20000)/20,0)))</f>
        <v>289</v>
      </c>
      <c r="K67">
        <f ca="1" t="shared" ref="K67:K130" si="19">ROUND($C67*RANDBETWEEN(10000,20000)*6,0)</f>
        <v>31970</v>
      </c>
      <c r="L67">
        <f ca="1" t="shared" ref="L67:L130" si="20">ROUND($C67*RANDBETWEEN(10000,20000)*1,0)</f>
        <v>4487</v>
      </c>
      <c r="M67">
        <f ca="1" t="shared" ref="M67:M130" si="21">$C67*RANDBETWEEN(50000,60000)/700000</f>
        <v>0.02657859024</v>
      </c>
    </row>
    <row r="68" spans="1:13">
      <c r="A68" t="str">
        <f ca="1">OFFSET($N$2,(ROW(68:68)-2)/35,0)</f>
        <v>天津市</v>
      </c>
      <c r="B68">
        <f ca="1">OFFSET($O$1,0,MOD(ROW(68:68)-2,35))</f>
        <v>2021</v>
      </c>
      <c r="C68">
        <f ca="1" t="shared" si="11"/>
        <v>0.36217104</v>
      </c>
      <c r="D68">
        <f ca="1" t="shared" si="12"/>
        <v>11</v>
      </c>
      <c r="E68">
        <f ca="1" t="shared" si="13"/>
        <v>3</v>
      </c>
      <c r="F68">
        <f ca="1" t="shared" si="14"/>
        <v>0.72138434984</v>
      </c>
      <c r="G68">
        <f ca="1" t="shared" si="15"/>
        <v>0.0793915136784</v>
      </c>
      <c r="H68">
        <f ca="1" t="shared" si="16"/>
        <v>0.741255467568</v>
      </c>
      <c r="I68">
        <f ca="1" t="shared" si="17"/>
        <v>1841</v>
      </c>
      <c r="J68">
        <f ca="1" t="shared" si="18"/>
        <v>329</v>
      </c>
      <c r="K68">
        <f ca="1" t="shared" si="19"/>
        <v>23280</v>
      </c>
      <c r="L68">
        <f ca="1" t="shared" si="20"/>
        <v>4529</v>
      </c>
      <c r="M68">
        <f ca="1" t="shared" si="21"/>
        <v>0.027967365096</v>
      </c>
    </row>
    <row r="69" spans="1:13">
      <c r="A69" t="str">
        <f ca="1">OFFSET($N$2,(ROW(69:69)-2)/35,0)</f>
        <v>天津市</v>
      </c>
      <c r="B69">
        <f ca="1">OFFSET($O$1,0,MOD(ROW(69:69)-2,35))</f>
        <v>2022</v>
      </c>
      <c r="C69">
        <f ca="1" t="shared" si="11"/>
        <v>0.35819784</v>
      </c>
      <c r="D69">
        <f ca="1" t="shared" si="12"/>
        <v>11</v>
      </c>
      <c r="E69">
        <f ca="1" t="shared" si="13"/>
        <v>3</v>
      </c>
      <c r="F69">
        <f ca="1" t="shared" si="14"/>
        <v>0.686832418272</v>
      </c>
      <c r="G69">
        <f ca="1" t="shared" si="15"/>
        <v>0.0744012733464</v>
      </c>
      <c r="H69">
        <f ca="1" t="shared" si="16"/>
        <v>0.800912460348</v>
      </c>
      <c r="I69">
        <f ca="1" t="shared" si="17"/>
        <v>1490</v>
      </c>
      <c r="J69">
        <f ca="1" t="shared" si="18"/>
        <v>255</v>
      </c>
      <c r="K69">
        <f ca="1" t="shared" si="19"/>
        <v>41294</v>
      </c>
      <c r="L69">
        <f ca="1" t="shared" si="20"/>
        <v>6208</v>
      </c>
      <c r="M69">
        <f ca="1" t="shared" si="21"/>
        <v>0.0261346261176</v>
      </c>
    </row>
    <row r="70" spans="1:13">
      <c r="A70" t="str">
        <f ca="1">OFFSET($N$2,(ROW(70:70)-2)/35,0)</f>
        <v>天津市</v>
      </c>
      <c r="B70">
        <f ca="1">OFFSET($O$1,0,MOD(ROW(70:70)-2,35))</f>
        <v>2023</v>
      </c>
      <c r="C70">
        <f ca="1" t="shared" si="11"/>
        <v>0.3770928</v>
      </c>
      <c r="D70">
        <f ca="1" t="shared" si="12"/>
        <v>12</v>
      </c>
      <c r="E70">
        <f ca="1" t="shared" si="13"/>
        <v>3</v>
      </c>
      <c r="F70">
        <f ca="1" t="shared" si="14"/>
        <v>0.66434952528</v>
      </c>
      <c r="G70">
        <f ca="1" t="shared" si="15"/>
        <v>0.094129904736</v>
      </c>
      <c r="H70">
        <f ca="1" t="shared" si="16"/>
        <v>0.87723098064</v>
      </c>
      <c r="I70">
        <f ca="1" t="shared" si="17"/>
        <v>1527</v>
      </c>
      <c r="J70">
        <f ca="1" t="shared" si="18"/>
        <v>233</v>
      </c>
      <c r="K70">
        <f ca="1" t="shared" si="19"/>
        <v>36362</v>
      </c>
      <c r="L70">
        <f ca="1" t="shared" si="20"/>
        <v>5118</v>
      </c>
      <c r="M70">
        <f ca="1" t="shared" si="21"/>
        <v>0.027779349168</v>
      </c>
    </row>
    <row r="71" spans="1:13">
      <c r="A71" t="str">
        <f ca="1">OFFSET($N$2,(ROW(71:71)-2)/35,0)</f>
        <v>天津市</v>
      </c>
      <c r="B71">
        <f ca="1">OFFSET($O$1,0,MOD(ROW(71:71)-2,35))</f>
        <v>2024</v>
      </c>
      <c r="C71">
        <f ca="1" t="shared" si="11"/>
        <v>0.39173904</v>
      </c>
      <c r="D71">
        <f ca="1" t="shared" si="12"/>
        <v>12</v>
      </c>
      <c r="E71">
        <f ca="1" t="shared" si="13"/>
        <v>3</v>
      </c>
      <c r="F71">
        <f ca="1" t="shared" si="14"/>
        <v>0.706749460032</v>
      </c>
      <c r="G71">
        <f ca="1" t="shared" si="15"/>
        <v>0.083087850384</v>
      </c>
      <c r="H71">
        <f ca="1" t="shared" si="16"/>
        <v>0.952376367096</v>
      </c>
      <c r="I71">
        <f ca="1" t="shared" si="17"/>
        <v>1623</v>
      </c>
      <c r="J71">
        <f ca="1" t="shared" si="18"/>
        <v>328</v>
      </c>
      <c r="K71">
        <f ca="1" t="shared" si="19"/>
        <v>32243</v>
      </c>
      <c r="L71">
        <f ca="1" t="shared" si="20"/>
        <v>5397</v>
      </c>
      <c r="M71">
        <f ca="1" t="shared" si="21"/>
        <v>0.0310772176704</v>
      </c>
    </row>
    <row r="72" spans="1:13">
      <c r="A72" t="str">
        <f ca="1">OFFSET($N$2,(ROW(72:72)-2)/35,0)</f>
        <v>河北省</v>
      </c>
      <c r="B72">
        <f ca="1">OFFSET($O$1,0,MOD(ROW(72:72)-2,35))</f>
        <v>1990</v>
      </c>
      <c r="C72">
        <f ca="1" t="shared" si="11"/>
        <v>0.0901068</v>
      </c>
      <c r="D72">
        <f ca="1" t="shared" si="12"/>
        <v>3</v>
      </c>
      <c r="E72">
        <f ca="1" t="shared" si="13"/>
        <v>0</v>
      </c>
      <c r="F72">
        <f ca="1" t="shared" si="14"/>
        <v>0.1701666918</v>
      </c>
      <c r="G72">
        <f ca="1" t="shared" si="15"/>
        <v>0.021935599392</v>
      </c>
      <c r="H72">
        <f ca="1" t="shared" si="16"/>
        <v>0.22118065662</v>
      </c>
      <c r="I72">
        <f ca="1" t="shared" si="17"/>
        <v>382</v>
      </c>
      <c r="J72">
        <f ca="1" t="shared" si="18"/>
        <v>14</v>
      </c>
      <c r="K72">
        <f ca="1" t="shared" si="19"/>
        <v>7518</v>
      </c>
      <c r="L72">
        <f ca="1" t="shared" si="20"/>
        <v>1521</v>
      </c>
      <c r="M72">
        <f ca="1" t="shared" si="21"/>
        <v>0.006590926248</v>
      </c>
    </row>
    <row r="73" spans="1:13">
      <c r="A73" t="str">
        <f ca="1">OFFSET($N$2,(ROW(73:73)-2)/35,0)</f>
        <v>河北省</v>
      </c>
      <c r="B73">
        <f ca="1">OFFSET($O$1,0,MOD(ROW(73:73)-2,35))</f>
        <v>1991</v>
      </c>
      <c r="C73">
        <f ca="1" t="shared" si="11"/>
        <v>0.09881256</v>
      </c>
      <c r="D73">
        <f ca="1" t="shared" si="12"/>
        <v>3</v>
      </c>
      <c r="E73">
        <f ca="1" t="shared" si="13"/>
        <v>0</v>
      </c>
      <c r="F73">
        <f ca="1" t="shared" si="14"/>
        <v>0.195563231248</v>
      </c>
      <c r="G73">
        <f ca="1" t="shared" si="15"/>
        <v>0.0201834535056</v>
      </c>
      <c r="H73">
        <f ca="1" t="shared" si="16"/>
        <v>0.203163563988</v>
      </c>
      <c r="I73">
        <f ca="1" t="shared" si="17"/>
        <v>558</v>
      </c>
      <c r="J73">
        <f ca="1" t="shared" si="18"/>
        <v>15</v>
      </c>
      <c r="K73">
        <f ca="1" t="shared" si="19"/>
        <v>10946</v>
      </c>
      <c r="L73">
        <f ca="1" t="shared" si="20"/>
        <v>1627</v>
      </c>
      <c r="M73">
        <f ca="1" t="shared" si="21"/>
        <v>0.0084418393224</v>
      </c>
    </row>
    <row r="74" spans="1:13">
      <c r="A74" t="str">
        <f ca="1">OFFSET($N$2,(ROW(74:74)-2)/35,0)</f>
        <v>河北省</v>
      </c>
      <c r="B74">
        <f ca="1">OFFSET($O$1,0,MOD(ROW(74:74)-2,35))</f>
        <v>1992</v>
      </c>
      <c r="C74">
        <f ca="1" t="shared" si="11"/>
        <v>0.10959984</v>
      </c>
      <c r="D74">
        <f ca="1" t="shared" si="12"/>
        <v>3</v>
      </c>
      <c r="E74">
        <f ca="1" t="shared" si="13"/>
        <v>0</v>
      </c>
      <c r="F74">
        <f ca="1" t="shared" si="14"/>
        <v>0.204264875136</v>
      </c>
      <c r="G74">
        <f ca="1" t="shared" si="15"/>
        <v>0.0233370939312</v>
      </c>
      <c r="H74">
        <f ca="1" t="shared" si="16"/>
        <v>0.223879593168</v>
      </c>
      <c r="I74">
        <f ca="1" t="shared" si="17"/>
        <v>564</v>
      </c>
      <c r="J74">
        <f ca="1" t="shared" si="18"/>
        <v>13</v>
      </c>
      <c r="K74">
        <f ca="1" t="shared" si="19"/>
        <v>9563</v>
      </c>
      <c r="L74">
        <f ca="1" t="shared" si="20"/>
        <v>1546</v>
      </c>
      <c r="M74">
        <f ca="1" t="shared" si="21"/>
        <v>0.008751547224</v>
      </c>
    </row>
    <row r="75" spans="1:13">
      <c r="A75" t="str">
        <f ca="1">OFFSET($N$2,(ROW(75:75)-2)/35,0)</f>
        <v>河北省</v>
      </c>
      <c r="B75">
        <f ca="1">OFFSET($O$1,0,MOD(ROW(75:75)-2,35))</f>
        <v>1993</v>
      </c>
      <c r="C75">
        <f ca="1" t="shared" si="11"/>
        <v>0.11683308</v>
      </c>
      <c r="D75">
        <f ca="1" t="shared" si="12"/>
        <v>3</v>
      </c>
      <c r="E75">
        <f ca="1" t="shared" si="13"/>
        <v>0</v>
      </c>
      <c r="F75">
        <f ca="1" t="shared" si="14"/>
        <v>0.196567762664</v>
      </c>
      <c r="G75">
        <f ca="1" t="shared" si="15"/>
        <v>0.0235956088368</v>
      </c>
      <c r="H75">
        <f ca="1" t="shared" si="16"/>
        <v>0.241721800866</v>
      </c>
      <c r="I75">
        <f ca="1" t="shared" si="17"/>
        <v>492</v>
      </c>
      <c r="J75">
        <f ca="1" t="shared" si="18"/>
        <v>13</v>
      </c>
      <c r="K75">
        <f ca="1" t="shared" si="19"/>
        <v>11932</v>
      </c>
      <c r="L75">
        <f ca="1" t="shared" si="20"/>
        <v>2325</v>
      </c>
      <c r="M75">
        <f ca="1" t="shared" si="21"/>
        <v>0.0086126008488</v>
      </c>
    </row>
    <row r="76" spans="1:13">
      <c r="A76" t="str">
        <f ca="1">OFFSET($N$2,(ROW(76:76)-2)/35,0)</f>
        <v>河北省</v>
      </c>
      <c r="B76">
        <f ca="1">OFFSET($O$1,0,MOD(ROW(76:76)-2,35))</f>
        <v>1994</v>
      </c>
      <c r="C76">
        <f ca="1" t="shared" si="11"/>
        <v>0.12446784</v>
      </c>
      <c r="D76">
        <f ca="1" t="shared" si="12"/>
        <v>3</v>
      </c>
      <c r="E76">
        <f ca="1" t="shared" si="13"/>
        <v>0</v>
      </c>
      <c r="F76">
        <f ca="1" t="shared" si="14"/>
        <v>0.233215391808</v>
      </c>
      <c r="G76">
        <f ca="1" t="shared" si="15"/>
        <v>0.0254586519936</v>
      </c>
      <c r="H76">
        <f ca="1" t="shared" si="16"/>
        <v>0.2632494816</v>
      </c>
      <c r="I76">
        <f ca="1" t="shared" si="17"/>
        <v>527</v>
      </c>
      <c r="J76">
        <f ca="1" t="shared" si="18"/>
        <v>20</v>
      </c>
      <c r="K76">
        <f ca="1" t="shared" si="19"/>
        <v>11500</v>
      </c>
      <c r="L76">
        <f ca="1" t="shared" si="20"/>
        <v>1269</v>
      </c>
      <c r="M76">
        <f ca="1" t="shared" si="21"/>
        <v>0.0097632573696</v>
      </c>
    </row>
    <row r="77" spans="1:13">
      <c r="A77" t="str">
        <f ca="1">OFFSET($N$2,(ROW(77:77)-2)/35,0)</f>
        <v>河北省</v>
      </c>
      <c r="B77">
        <f ca="1">OFFSET($O$1,0,MOD(ROW(77:77)-2,35))</f>
        <v>1995</v>
      </c>
      <c r="C77">
        <f ca="1" t="shared" si="11"/>
        <v>0.1273608</v>
      </c>
      <c r="D77">
        <f ca="1" t="shared" si="12"/>
        <v>3</v>
      </c>
      <c r="E77">
        <f ca="1" t="shared" si="13"/>
        <v>0</v>
      </c>
      <c r="F77">
        <f ca="1" t="shared" si="14"/>
        <v>0.22725836616</v>
      </c>
      <c r="G77">
        <f ca="1" t="shared" si="15"/>
        <v>0.030142480536</v>
      </c>
      <c r="H77">
        <f ca="1" t="shared" si="16"/>
        <v>0.27651940092</v>
      </c>
      <c r="I77">
        <f ca="1" t="shared" si="17"/>
        <v>618</v>
      </c>
      <c r="J77">
        <f ca="1" t="shared" si="18"/>
        <v>19</v>
      </c>
      <c r="K77">
        <f ca="1" t="shared" si="19"/>
        <v>12324</v>
      </c>
      <c r="L77">
        <f ca="1" t="shared" si="20"/>
        <v>2399</v>
      </c>
      <c r="M77">
        <f ca="1" t="shared" si="21"/>
        <v>0.009592633512</v>
      </c>
    </row>
    <row r="78" spans="1:13">
      <c r="A78" t="str">
        <f ca="1">OFFSET($N$2,(ROW(78:78)-2)/35,0)</f>
        <v>河北省</v>
      </c>
      <c r="B78">
        <f ca="1">OFFSET($O$1,0,MOD(ROW(78:78)-2,35))</f>
        <v>1996</v>
      </c>
      <c r="C78">
        <f ca="1" t="shared" si="11"/>
        <v>0.14281344</v>
      </c>
      <c r="D78">
        <f ca="1" t="shared" si="12"/>
        <v>4</v>
      </c>
      <c r="E78">
        <f ca="1" t="shared" si="13"/>
        <v>0</v>
      </c>
      <c r="F78">
        <f ca="1" t="shared" si="14"/>
        <v>0.23845084032</v>
      </c>
      <c r="G78">
        <f ca="1" t="shared" si="15"/>
        <v>0.0312161617152</v>
      </c>
      <c r="H78">
        <f ca="1" t="shared" si="16"/>
        <v>0.296830594368</v>
      </c>
      <c r="I78">
        <f ca="1" t="shared" si="17"/>
        <v>751</v>
      </c>
      <c r="J78">
        <f ca="1" t="shared" si="18"/>
        <v>21</v>
      </c>
      <c r="K78">
        <f ca="1" t="shared" si="19"/>
        <v>10078</v>
      </c>
      <c r="L78">
        <f ca="1" t="shared" si="20"/>
        <v>1861</v>
      </c>
      <c r="M78">
        <f ca="1" t="shared" si="21"/>
        <v>0.0110451914496</v>
      </c>
    </row>
    <row r="79" spans="1:13">
      <c r="A79" t="str">
        <f ca="1">OFFSET($N$2,(ROW(79:79)-2)/35,0)</f>
        <v>河北省</v>
      </c>
      <c r="B79">
        <f ca="1">OFFSET($O$1,0,MOD(ROW(79:79)-2,35))</f>
        <v>1997</v>
      </c>
      <c r="C79">
        <f ca="1" t="shared" si="11"/>
        <v>0.14432796</v>
      </c>
      <c r="D79">
        <f ca="1" t="shared" si="12"/>
        <v>4</v>
      </c>
      <c r="E79">
        <f ca="1" t="shared" si="13"/>
        <v>0</v>
      </c>
      <c r="F79">
        <f ca="1" t="shared" si="14"/>
        <v>0.27655642602</v>
      </c>
      <c r="G79">
        <f ca="1" t="shared" si="15"/>
        <v>0.0305960842404</v>
      </c>
      <c r="H79">
        <f ca="1" t="shared" si="16"/>
        <v>0.321425583318</v>
      </c>
      <c r="I79">
        <f ca="1" t="shared" si="17"/>
        <v>824</v>
      </c>
      <c r="J79">
        <f ca="1" t="shared" si="18"/>
        <v>18</v>
      </c>
      <c r="K79">
        <f ca="1" t="shared" si="19"/>
        <v>10618</v>
      </c>
      <c r="L79">
        <f ca="1" t="shared" si="20"/>
        <v>1842</v>
      </c>
      <c r="M79">
        <f ca="1" t="shared" si="21"/>
        <v>0.01092253383</v>
      </c>
    </row>
    <row r="80" spans="1:13">
      <c r="A80" t="str">
        <f ca="1">OFFSET($N$2,(ROW(80:80)-2)/35,0)</f>
        <v>河北省</v>
      </c>
      <c r="B80">
        <f ca="1">OFFSET($O$1,0,MOD(ROW(80:80)-2,35))</f>
        <v>1998</v>
      </c>
      <c r="C80">
        <f ca="1" t="shared" si="11"/>
        <v>0.15744456</v>
      </c>
      <c r="D80">
        <f ca="1" t="shared" si="12"/>
        <v>4</v>
      </c>
      <c r="E80">
        <f ca="1" t="shared" si="13"/>
        <v>0</v>
      </c>
      <c r="F80">
        <f ca="1" t="shared" si="14"/>
        <v>0.28250802216</v>
      </c>
      <c r="G80">
        <f ca="1" t="shared" si="15"/>
        <v>0.0340623433332</v>
      </c>
      <c r="H80">
        <f ca="1" t="shared" si="16"/>
        <v>0.364192883964</v>
      </c>
      <c r="I80">
        <f ca="1" t="shared" si="17"/>
        <v>824</v>
      </c>
      <c r="J80">
        <f ca="1" t="shared" si="18"/>
        <v>20</v>
      </c>
      <c r="K80">
        <f ca="1" t="shared" si="19"/>
        <v>17207</v>
      </c>
      <c r="L80">
        <f ca="1" t="shared" si="20"/>
        <v>2183</v>
      </c>
      <c r="M80">
        <f ca="1" t="shared" si="21"/>
        <v>0.0119903029272</v>
      </c>
    </row>
    <row r="81" spans="1:13">
      <c r="A81" t="str">
        <f ca="1">OFFSET($N$2,(ROW(81:81)-2)/35,0)</f>
        <v>河北省</v>
      </c>
      <c r="B81">
        <f ca="1">OFFSET($O$1,0,MOD(ROW(81:81)-2,35))</f>
        <v>1999</v>
      </c>
      <c r="C81">
        <f ca="1" t="shared" si="11"/>
        <v>0.17343732</v>
      </c>
      <c r="D81">
        <f ca="1" t="shared" si="12"/>
        <v>5</v>
      </c>
      <c r="E81">
        <f ca="1" t="shared" si="13"/>
        <v>0</v>
      </c>
      <c r="F81">
        <f ca="1" t="shared" si="14"/>
        <v>0.313378112264</v>
      </c>
      <c r="G81">
        <f ca="1" t="shared" si="15"/>
        <v>0.03486090132</v>
      </c>
      <c r="H81">
        <f ca="1" t="shared" si="16"/>
        <v>0.398810445474</v>
      </c>
      <c r="I81">
        <f ca="1" t="shared" si="17"/>
        <v>699</v>
      </c>
      <c r="J81">
        <f ca="1" t="shared" si="18"/>
        <v>33</v>
      </c>
      <c r="K81">
        <f ca="1" t="shared" si="19"/>
        <v>15212</v>
      </c>
      <c r="L81">
        <f ca="1" t="shared" si="20"/>
        <v>1956</v>
      </c>
      <c r="M81">
        <f ca="1" t="shared" si="21"/>
        <v>0.0137971865736</v>
      </c>
    </row>
    <row r="82" spans="1:13">
      <c r="A82" t="str">
        <f ca="1">OFFSET($N$2,(ROW(82:82)-2)/35,0)</f>
        <v>河北省</v>
      </c>
      <c r="B82">
        <f ca="1">OFFSET($O$1,0,MOD(ROW(82:82)-2,35))</f>
        <v>2000</v>
      </c>
      <c r="C82">
        <f ca="1" t="shared" si="11"/>
        <v>0.1814904</v>
      </c>
      <c r="D82">
        <f ca="1" t="shared" si="12"/>
        <v>6</v>
      </c>
      <c r="E82">
        <f ca="1" t="shared" si="13"/>
        <v>0</v>
      </c>
      <c r="F82">
        <f ca="1" t="shared" si="14"/>
        <v>0.33700952376</v>
      </c>
      <c r="G82">
        <f ca="1" t="shared" si="15"/>
        <v>0.039758194476</v>
      </c>
      <c r="H82">
        <f ca="1" t="shared" si="16"/>
        <v>0.40855303944</v>
      </c>
      <c r="I82">
        <f ca="1" t="shared" si="17"/>
        <v>729</v>
      </c>
      <c r="J82">
        <f ca="1" t="shared" si="18"/>
        <v>34</v>
      </c>
      <c r="K82">
        <f ca="1" t="shared" si="19"/>
        <v>13542</v>
      </c>
      <c r="L82">
        <f ca="1" t="shared" si="20"/>
        <v>2766</v>
      </c>
      <c r="M82">
        <f ca="1" t="shared" si="21"/>
        <v>0.013497181776</v>
      </c>
    </row>
    <row r="83" spans="1:13">
      <c r="A83" t="str">
        <f ca="1">OFFSET($N$2,(ROW(83:83)-2)/35,0)</f>
        <v>河北省</v>
      </c>
      <c r="B83">
        <f ca="1">OFFSET($O$1,0,MOD(ROW(83:83)-2,35))</f>
        <v>2001</v>
      </c>
      <c r="C83">
        <f ca="1" t="shared" si="11"/>
        <v>0.18417924</v>
      </c>
      <c r="D83">
        <f ca="1" t="shared" si="12"/>
        <v>7</v>
      </c>
      <c r="E83">
        <f ca="1" t="shared" si="13"/>
        <v>0</v>
      </c>
      <c r="F83">
        <f ca="1" t="shared" si="14"/>
        <v>0.343230292356</v>
      </c>
      <c r="G83">
        <f ca="1" t="shared" si="15"/>
        <v>0.0424155580758</v>
      </c>
      <c r="H83">
        <f ca="1" t="shared" si="16"/>
        <v>0.416364798906</v>
      </c>
      <c r="I83">
        <f ca="1" t="shared" si="17"/>
        <v>769</v>
      </c>
      <c r="J83">
        <f ca="1" t="shared" si="18"/>
        <v>34</v>
      </c>
      <c r="K83">
        <f ca="1" t="shared" si="19"/>
        <v>12369</v>
      </c>
      <c r="L83">
        <f ca="1" t="shared" si="20"/>
        <v>2062</v>
      </c>
      <c r="M83">
        <f ca="1" t="shared" si="21"/>
        <v>0.0149519338164</v>
      </c>
    </row>
    <row r="84" spans="1:13">
      <c r="A84" t="str">
        <f ca="1">OFFSET($N$2,(ROW(84:84)-2)/35,0)</f>
        <v>河北省</v>
      </c>
      <c r="B84">
        <f ca="1">OFFSET($O$1,0,MOD(ROW(84:84)-2,35))</f>
        <v>2002</v>
      </c>
      <c r="C84">
        <f ca="1" t="shared" si="11"/>
        <v>0.20109936</v>
      </c>
      <c r="D84">
        <f ca="1" t="shared" si="12"/>
        <v>7</v>
      </c>
      <c r="E84">
        <f ca="1" t="shared" si="13"/>
        <v>0</v>
      </c>
      <c r="F84">
        <f ca="1" t="shared" si="14"/>
        <v>0.366718089584</v>
      </c>
      <c r="G84">
        <f ca="1" t="shared" si="15"/>
        <v>0.0414023362368</v>
      </c>
      <c r="H84">
        <f ca="1" t="shared" si="16"/>
        <v>0.45267465936</v>
      </c>
      <c r="I84">
        <f ca="1" t="shared" si="17"/>
        <v>1026</v>
      </c>
      <c r="J84">
        <f ca="1" t="shared" si="18"/>
        <v>31</v>
      </c>
      <c r="K84">
        <f ca="1" t="shared" si="19"/>
        <v>19918</v>
      </c>
      <c r="L84">
        <f ca="1" t="shared" si="20"/>
        <v>3485</v>
      </c>
      <c r="M84">
        <f ca="1" t="shared" si="21"/>
        <v>0.0170730483792</v>
      </c>
    </row>
    <row r="85" spans="1:13">
      <c r="A85" t="str">
        <f ca="1">OFFSET($N$2,(ROW(85:85)-2)/35,0)</f>
        <v>河北省</v>
      </c>
      <c r="B85">
        <f ca="1">OFFSET($O$1,0,MOD(ROW(85:85)-2,35))</f>
        <v>2003</v>
      </c>
      <c r="C85">
        <f ca="1" t="shared" si="11"/>
        <v>0.20061888</v>
      </c>
      <c r="D85">
        <f ca="1" t="shared" si="12"/>
        <v>7</v>
      </c>
      <c r="E85">
        <f ca="1" t="shared" si="13"/>
        <v>0</v>
      </c>
      <c r="F85">
        <f ca="1" t="shared" si="14"/>
        <v>0.366256514624</v>
      </c>
      <c r="G85">
        <f ca="1" t="shared" si="15"/>
        <v>0.040229100912</v>
      </c>
      <c r="H85">
        <f ca="1" t="shared" si="16"/>
        <v>0.447410195232</v>
      </c>
      <c r="I85">
        <f ca="1" t="shared" si="17"/>
        <v>1167</v>
      </c>
      <c r="J85">
        <f ca="1" t="shared" si="18"/>
        <v>38</v>
      </c>
      <c r="K85">
        <f ca="1" t="shared" si="19"/>
        <v>13331</v>
      </c>
      <c r="L85">
        <f ca="1" t="shared" si="20"/>
        <v>2309</v>
      </c>
      <c r="M85">
        <f ca="1" t="shared" si="21"/>
        <v>0.0169482829824</v>
      </c>
    </row>
    <row r="86" spans="1:13">
      <c r="A86" t="str">
        <f ca="1">OFFSET($N$2,(ROW(86:86)-2)/35,0)</f>
        <v>河北省</v>
      </c>
      <c r="B86">
        <f ca="1">OFFSET($O$1,0,MOD(ROW(86:86)-2,35))</f>
        <v>2004</v>
      </c>
      <c r="C86">
        <f ca="1" t="shared" si="11"/>
        <v>0.20817216</v>
      </c>
      <c r="D86">
        <f ca="1" t="shared" si="12"/>
        <v>8</v>
      </c>
      <c r="E86">
        <f ca="1" t="shared" si="13"/>
        <v>0</v>
      </c>
      <c r="F86">
        <f ca="1" t="shared" si="14"/>
        <v>0.351339093504</v>
      </c>
      <c r="G86">
        <f ca="1" t="shared" si="15"/>
        <v>0.0493118212608</v>
      </c>
      <c r="H86">
        <f ca="1" t="shared" si="16"/>
        <v>0.44018003232</v>
      </c>
      <c r="I86">
        <f ca="1" t="shared" si="17"/>
        <v>909</v>
      </c>
      <c r="J86">
        <f ca="1" t="shared" si="18"/>
        <v>36</v>
      </c>
      <c r="K86">
        <f ca="1" t="shared" si="19"/>
        <v>18617</v>
      </c>
      <c r="L86">
        <f ca="1" t="shared" si="20"/>
        <v>2670</v>
      </c>
      <c r="M86">
        <f ca="1" t="shared" si="21"/>
        <v>0.015421096224</v>
      </c>
    </row>
    <row r="87" spans="1:13">
      <c r="A87" t="str">
        <f ca="1">OFFSET($N$2,(ROW(87:87)-2)/35,0)</f>
        <v>河北省</v>
      </c>
      <c r="B87">
        <f ca="1">OFFSET($O$1,0,MOD(ROW(87:87)-2,35))</f>
        <v>2005</v>
      </c>
      <c r="C87">
        <f ca="1" t="shared" si="11"/>
        <v>0.222474</v>
      </c>
      <c r="D87">
        <f ca="1" t="shared" si="12"/>
        <v>9</v>
      </c>
      <c r="E87">
        <f ca="1" t="shared" si="13"/>
        <v>0</v>
      </c>
      <c r="F87">
        <f ca="1" t="shared" si="14"/>
        <v>0.4188592156</v>
      </c>
      <c r="G87">
        <f ca="1" t="shared" si="15"/>
        <v>0.05465741232</v>
      </c>
      <c r="H87">
        <f ca="1" t="shared" si="16"/>
        <v>0.5348608671</v>
      </c>
      <c r="I87">
        <f ca="1" t="shared" si="17"/>
        <v>969</v>
      </c>
      <c r="J87">
        <f ca="1" t="shared" si="18"/>
        <v>35</v>
      </c>
      <c r="K87">
        <f ca="1" t="shared" si="19"/>
        <v>23539</v>
      </c>
      <c r="L87">
        <f ca="1" t="shared" si="20"/>
        <v>3027</v>
      </c>
      <c r="M87">
        <f ca="1" t="shared" si="21"/>
        <v>0.01899260538</v>
      </c>
    </row>
    <row r="88" spans="1:13">
      <c r="A88" t="str">
        <f ca="1">OFFSET($N$2,(ROW(88:88)-2)/35,0)</f>
        <v>河北省</v>
      </c>
      <c r="B88">
        <f ca="1">OFFSET($O$1,0,MOD(ROW(88:88)-2,35))</f>
        <v>2006</v>
      </c>
      <c r="C88">
        <f ca="1" t="shared" si="11"/>
        <v>0.2204748</v>
      </c>
      <c r="D88">
        <f ca="1" t="shared" si="12"/>
        <v>9</v>
      </c>
      <c r="E88">
        <f ca="1" t="shared" si="13"/>
        <v>0</v>
      </c>
      <c r="F88">
        <f ca="1" t="shared" si="14"/>
        <v>0.37489534992</v>
      </c>
      <c r="G88">
        <f ca="1" t="shared" si="15"/>
        <v>0.046237975056</v>
      </c>
      <c r="H88">
        <f ca="1" t="shared" si="16"/>
        <v>0.45520329582</v>
      </c>
      <c r="I88">
        <f ca="1" t="shared" si="17"/>
        <v>1271</v>
      </c>
      <c r="J88">
        <f ca="1" t="shared" si="18"/>
        <v>27</v>
      </c>
      <c r="K88">
        <f ca="1" t="shared" si="19"/>
        <v>14360</v>
      </c>
      <c r="L88">
        <f ca="1" t="shared" si="20"/>
        <v>3875</v>
      </c>
      <c r="M88">
        <f ca="1" t="shared" si="21"/>
        <v>0.01866634146</v>
      </c>
    </row>
    <row r="89" spans="1:13">
      <c r="A89" t="str">
        <f ca="1">OFFSET($N$2,(ROW(89:89)-2)/35,0)</f>
        <v>河北省</v>
      </c>
      <c r="B89">
        <f ca="1">OFFSET($O$1,0,MOD(ROW(89:89)-2,35))</f>
        <v>2007</v>
      </c>
      <c r="C89">
        <f ca="1" t="shared" si="11"/>
        <v>0.24111108</v>
      </c>
      <c r="D89">
        <f ca="1" t="shared" si="12"/>
        <v>9</v>
      </c>
      <c r="E89">
        <f ca="1" t="shared" si="13"/>
        <v>0</v>
      </c>
      <c r="F89">
        <f ca="1" t="shared" si="14"/>
        <v>0.470713124448</v>
      </c>
      <c r="G89">
        <f ca="1" t="shared" si="15"/>
        <v>0.0527647487472</v>
      </c>
      <c r="H89">
        <f ca="1" t="shared" si="16"/>
        <v>0.510408045252</v>
      </c>
      <c r="I89">
        <f ca="1" t="shared" si="17"/>
        <v>1299</v>
      </c>
      <c r="J89">
        <f ca="1" t="shared" si="18"/>
        <v>26</v>
      </c>
      <c r="K89">
        <f ca="1" t="shared" si="19"/>
        <v>24590</v>
      </c>
      <c r="L89">
        <f ca="1" t="shared" si="20"/>
        <v>2770</v>
      </c>
      <c r="M89">
        <f ca="1" t="shared" si="21"/>
        <v>0.0188149309056</v>
      </c>
    </row>
    <row r="90" spans="1:13">
      <c r="A90" t="str">
        <f ca="1">OFFSET($N$2,(ROW(90:90)-2)/35,0)</f>
        <v>河北省</v>
      </c>
      <c r="B90">
        <f ca="1">OFFSET($O$1,0,MOD(ROW(90:90)-2,35))</f>
        <v>2008</v>
      </c>
      <c r="C90">
        <f ca="1" t="shared" si="11"/>
        <v>0.24053904</v>
      </c>
      <c r="D90">
        <f ca="1" t="shared" si="12"/>
        <v>9</v>
      </c>
      <c r="E90">
        <f ca="1" t="shared" si="13"/>
        <v>0</v>
      </c>
      <c r="F90">
        <f ca="1" t="shared" si="14"/>
        <v>0.430653079248</v>
      </c>
      <c r="G90">
        <f ca="1" t="shared" si="15"/>
        <v>0.05511350754</v>
      </c>
      <c r="H90">
        <f ca="1" t="shared" si="16"/>
        <v>0.513899632008</v>
      </c>
      <c r="I90">
        <f ca="1" t="shared" si="17"/>
        <v>1037</v>
      </c>
      <c r="J90">
        <f ca="1" t="shared" si="18"/>
        <v>30</v>
      </c>
      <c r="K90">
        <f ca="1" t="shared" si="19"/>
        <v>20790</v>
      </c>
      <c r="L90">
        <f ca="1" t="shared" si="20"/>
        <v>3326</v>
      </c>
      <c r="M90">
        <f ca="1" t="shared" si="21"/>
        <v>0.019799799264</v>
      </c>
    </row>
    <row r="91" spans="1:13">
      <c r="A91" t="str">
        <f ca="1">OFFSET($N$2,(ROW(91:91)-2)/35,0)</f>
        <v>河北省</v>
      </c>
      <c r="B91">
        <f ca="1">OFFSET($O$1,0,MOD(ROW(91:91)-2,35))</f>
        <v>2009</v>
      </c>
      <c r="C91">
        <f ca="1" t="shared" si="11"/>
        <v>0.25738776</v>
      </c>
      <c r="D91">
        <f ca="1" t="shared" si="12"/>
        <v>9</v>
      </c>
      <c r="E91">
        <f ca="1" t="shared" si="13"/>
        <v>0</v>
      </c>
      <c r="F91">
        <f ca="1" t="shared" si="14"/>
        <v>0.50864111172</v>
      </c>
      <c r="G91">
        <f ca="1" t="shared" si="15"/>
        <v>0.0625014697608</v>
      </c>
      <c r="H91">
        <f ca="1" t="shared" si="16"/>
        <v>0.568711125108</v>
      </c>
      <c r="I91">
        <f ca="1" t="shared" si="17"/>
        <v>1246</v>
      </c>
      <c r="J91">
        <f ca="1" t="shared" si="18"/>
        <v>51</v>
      </c>
      <c r="K91">
        <f ca="1" t="shared" si="19"/>
        <v>24071</v>
      </c>
      <c r="L91">
        <f ca="1" t="shared" si="20"/>
        <v>4489</v>
      </c>
      <c r="M91">
        <f ca="1" t="shared" si="21"/>
        <v>0.021260228976</v>
      </c>
    </row>
    <row r="92" spans="1:13">
      <c r="A92" t="str">
        <f ca="1">OFFSET($N$2,(ROW(92:92)-2)/35,0)</f>
        <v>河北省</v>
      </c>
      <c r="B92">
        <f ca="1">OFFSET($O$1,0,MOD(ROW(92:92)-2,35))</f>
        <v>2010</v>
      </c>
      <c r="C92">
        <f ca="1" t="shared" si="11"/>
        <v>0.263466</v>
      </c>
      <c r="D92">
        <f ca="1" t="shared" si="12"/>
        <v>9</v>
      </c>
      <c r="E92">
        <f ca="1" t="shared" si="13"/>
        <v>0</v>
      </c>
      <c r="F92">
        <f ca="1" t="shared" si="14"/>
        <v>0.4922335278</v>
      </c>
      <c r="G92">
        <f ca="1" t="shared" si="15"/>
        <v>0.05292900207</v>
      </c>
      <c r="H92">
        <f ca="1" t="shared" si="16"/>
        <v>0.5516846307</v>
      </c>
      <c r="I92">
        <f ca="1" t="shared" si="17"/>
        <v>1122</v>
      </c>
      <c r="J92">
        <f ca="1" t="shared" si="18"/>
        <v>31</v>
      </c>
      <c r="K92">
        <f ca="1" t="shared" si="19"/>
        <v>17912</v>
      </c>
      <c r="L92">
        <f ca="1" t="shared" si="20"/>
        <v>4925</v>
      </c>
      <c r="M92">
        <f ca="1" t="shared" si="21"/>
        <v>0.0192631284</v>
      </c>
    </row>
    <row r="93" spans="1:13">
      <c r="A93" t="str">
        <f ca="1">OFFSET($N$2,(ROW(93:93)-2)/35,0)</f>
        <v>河北省</v>
      </c>
      <c r="B93">
        <f ca="1">OFFSET($O$1,0,MOD(ROW(93:93)-2,35))</f>
        <v>2011</v>
      </c>
      <c r="C93">
        <f ca="1" t="shared" si="11"/>
        <v>0.26146764</v>
      </c>
      <c r="D93">
        <f ca="1" t="shared" si="12"/>
        <v>9</v>
      </c>
      <c r="E93">
        <f ca="1" t="shared" si="13"/>
        <v>0</v>
      </c>
      <c r="F93">
        <f ca="1" t="shared" si="14"/>
        <v>0.48114403554</v>
      </c>
      <c r="G93">
        <f ca="1" t="shared" si="15"/>
        <v>0.0618266381544</v>
      </c>
      <c r="H93">
        <f ca="1" t="shared" si="16"/>
        <v>0.597767318568</v>
      </c>
      <c r="I93">
        <f ca="1" t="shared" si="17"/>
        <v>1046</v>
      </c>
      <c r="J93">
        <f ca="1" t="shared" si="18"/>
        <v>31</v>
      </c>
      <c r="K93">
        <f ca="1" t="shared" si="19"/>
        <v>18962</v>
      </c>
      <c r="L93">
        <f ca="1" t="shared" si="20"/>
        <v>5052</v>
      </c>
      <c r="M93">
        <f ca="1" t="shared" si="21"/>
        <v>0.02014234641</v>
      </c>
    </row>
    <row r="94" spans="1:13">
      <c r="A94" t="str">
        <f ca="1">OFFSET($N$2,(ROW(94:94)-2)/35,0)</f>
        <v>河北省</v>
      </c>
      <c r="B94">
        <f ca="1">OFFSET($O$1,0,MOD(ROW(94:94)-2,35))</f>
        <v>2012</v>
      </c>
      <c r="C94">
        <f ca="1" t="shared" si="11"/>
        <v>0.27656832</v>
      </c>
      <c r="D94">
        <f ca="1" t="shared" si="12"/>
        <v>9</v>
      </c>
      <c r="E94">
        <f ca="1" t="shared" si="13"/>
        <v>0</v>
      </c>
      <c r="F94">
        <f ca="1" t="shared" si="14"/>
        <v>0.485958195072</v>
      </c>
      <c r="G94">
        <f ca="1" t="shared" si="15"/>
        <v>0.0623744532096</v>
      </c>
      <c r="H94">
        <f ca="1" t="shared" si="16"/>
        <v>0.622195749504</v>
      </c>
      <c r="I94">
        <f ca="1" t="shared" si="17"/>
        <v>1385</v>
      </c>
      <c r="J94">
        <f ca="1" t="shared" si="18"/>
        <v>29</v>
      </c>
      <c r="K94">
        <f ca="1" t="shared" si="19"/>
        <v>23277</v>
      </c>
      <c r="L94">
        <f ca="1" t="shared" si="20"/>
        <v>3414</v>
      </c>
      <c r="M94">
        <f ca="1" t="shared" si="21"/>
        <v>0.0211191520128</v>
      </c>
    </row>
    <row r="95" spans="1:13">
      <c r="A95" t="str">
        <f ca="1">OFFSET($N$2,(ROW(95:95)-2)/35,0)</f>
        <v>河北省</v>
      </c>
      <c r="B95">
        <f ca="1">OFFSET($O$1,0,MOD(ROW(95:95)-2,35))</f>
        <v>2013</v>
      </c>
      <c r="C95">
        <f ca="1" t="shared" si="11"/>
        <v>0.29541204</v>
      </c>
      <c r="D95">
        <f ca="1" t="shared" si="12"/>
        <v>9</v>
      </c>
      <c r="E95">
        <f ca="1" t="shared" si="13"/>
        <v>0</v>
      </c>
      <c r="F95">
        <f ca="1" t="shared" si="14"/>
        <v>0.496853510076</v>
      </c>
      <c r="G95">
        <f ca="1" t="shared" si="15"/>
        <v>0.0709077519612</v>
      </c>
      <c r="H95">
        <f ca="1" t="shared" si="16"/>
        <v>0.664869107826</v>
      </c>
      <c r="I95">
        <f ca="1" t="shared" si="17"/>
        <v>1584</v>
      </c>
      <c r="J95">
        <f ca="1" t="shared" si="18"/>
        <v>33</v>
      </c>
      <c r="K95">
        <f ca="1" t="shared" si="19"/>
        <v>18136</v>
      </c>
      <c r="L95">
        <f ca="1" t="shared" si="20"/>
        <v>5212</v>
      </c>
      <c r="M95">
        <f ca="1" t="shared" si="21"/>
        <v>0.0247605931584</v>
      </c>
    </row>
    <row r="96" spans="1:13">
      <c r="A96" t="str">
        <f ca="1">OFFSET($N$2,(ROW(96:96)-2)/35,0)</f>
        <v>河北省</v>
      </c>
      <c r="B96">
        <f ca="1">OFFSET($O$1,0,MOD(ROW(96:96)-2,35))</f>
        <v>2014</v>
      </c>
      <c r="C96">
        <f ca="1" t="shared" si="11"/>
        <v>0.29171184</v>
      </c>
      <c r="D96">
        <f ca="1" t="shared" si="12"/>
        <v>9</v>
      </c>
      <c r="E96">
        <f ca="1" t="shared" si="13"/>
        <v>0</v>
      </c>
      <c r="F96">
        <f ca="1" t="shared" si="14"/>
        <v>0.53533984504</v>
      </c>
      <c r="G96">
        <f ca="1" t="shared" si="15"/>
        <v>0.067560462144</v>
      </c>
      <c r="H96">
        <f ca="1" t="shared" si="16"/>
        <v>0.646827248424</v>
      </c>
      <c r="I96">
        <f ca="1" t="shared" si="17"/>
        <v>1624</v>
      </c>
      <c r="J96">
        <f ca="1" t="shared" si="18"/>
        <v>33</v>
      </c>
      <c r="K96">
        <f ca="1" t="shared" si="19"/>
        <v>34358</v>
      </c>
      <c r="L96">
        <f ca="1" t="shared" si="20"/>
        <v>4195</v>
      </c>
      <c r="M96">
        <f ca="1" t="shared" si="21"/>
        <v>0.0230344003488</v>
      </c>
    </row>
    <row r="97" spans="1:13">
      <c r="A97" t="str">
        <f ca="1">OFFSET($N$2,(ROW(97:97)-2)/35,0)</f>
        <v>河北省</v>
      </c>
      <c r="B97">
        <f ca="1">OFFSET($O$1,0,MOD(ROW(97:97)-2,35))</f>
        <v>2015</v>
      </c>
      <c r="C97">
        <f ca="1" t="shared" si="11"/>
        <v>0.312816</v>
      </c>
      <c r="D97">
        <f ca="1" t="shared" si="12"/>
        <v>9</v>
      </c>
      <c r="E97">
        <f ca="1" t="shared" si="13"/>
        <v>0</v>
      </c>
      <c r="F97">
        <f ca="1" t="shared" si="14"/>
        <v>0.5968425008</v>
      </c>
      <c r="G97">
        <f ca="1" t="shared" si="15"/>
        <v>0.07423436496</v>
      </c>
      <c r="H97">
        <f ca="1" t="shared" si="16"/>
        <v>0.7636777008</v>
      </c>
      <c r="I97">
        <f ca="1" t="shared" si="17"/>
        <v>1320</v>
      </c>
      <c r="J97">
        <f ca="1" t="shared" si="18"/>
        <v>62</v>
      </c>
      <c r="K97">
        <f ca="1" t="shared" si="19"/>
        <v>26438</v>
      </c>
      <c r="L97">
        <f ca="1" t="shared" si="20"/>
        <v>3271</v>
      </c>
      <c r="M97">
        <f ca="1" t="shared" si="21"/>
        <v>0.0252330792</v>
      </c>
    </row>
    <row r="98" spans="1:13">
      <c r="A98" t="str">
        <f ca="1">OFFSET($N$2,(ROW(98:98)-2)/35,0)</f>
        <v>河北省</v>
      </c>
      <c r="B98">
        <f ca="1">OFFSET($O$1,0,MOD(ROW(98:98)-2,35))</f>
        <v>2016</v>
      </c>
      <c r="C98">
        <f ca="1" t="shared" si="11"/>
        <v>0.32532192</v>
      </c>
      <c r="D98">
        <f ca="1" t="shared" si="12"/>
        <v>9</v>
      </c>
      <c r="E98">
        <f ca="1" t="shared" si="13"/>
        <v>0</v>
      </c>
      <c r="F98">
        <f ca="1" t="shared" si="14"/>
        <v>0.639951592896</v>
      </c>
      <c r="G98">
        <f ca="1" t="shared" si="15"/>
        <v>0.0790272008064</v>
      </c>
      <c r="H98">
        <f ca="1" t="shared" si="16"/>
        <v>0.721677881232</v>
      </c>
      <c r="I98">
        <f ca="1" t="shared" si="17"/>
        <v>1507</v>
      </c>
      <c r="J98">
        <f ca="1" t="shared" si="18"/>
        <v>71</v>
      </c>
      <c r="K98">
        <f ca="1" t="shared" si="19"/>
        <v>38551</v>
      </c>
      <c r="L98">
        <f ca="1" t="shared" si="20"/>
        <v>5732</v>
      </c>
      <c r="M98">
        <f ca="1" t="shared" si="21"/>
        <v>0.0262223409888</v>
      </c>
    </row>
    <row r="99" spans="1:13">
      <c r="A99" t="str">
        <f ca="1">OFFSET($N$2,(ROW(99:99)-2)/35,0)</f>
        <v>河北省</v>
      </c>
      <c r="B99">
        <f ca="1">OFFSET($O$1,0,MOD(ROW(99:99)-2,35))</f>
        <v>2017</v>
      </c>
      <c r="C99">
        <f ca="1" t="shared" si="11"/>
        <v>0.32382252</v>
      </c>
      <c r="D99">
        <f ca="1" t="shared" si="12"/>
        <v>9</v>
      </c>
      <c r="E99">
        <f ca="1" t="shared" si="13"/>
        <v>0</v>
      </c>
      <c r="F99">
        <f ca="1" t="shared" si="14"/>
        <v>0.637239543024</v>
      </c>
      <c r="G99">
        <f ca="1" t="shared" si="15"/>
        <v>0.0790402197942</v>
      </c>
      <c r="H99">
        <f ca="1" t="shared" si="16"/>
        <v>0.733393243296</v>
      </c>
      <c r="I99">
        <f ca="1" t="shared" si="17"/>
        <v>1707</v>
      </c>
      <c r="J99">
        <f ca="1" t="shared" si="18"/>
        <v>54</v>
      </c>
      <c r="K99">
        <f ca="1" t="shared" si="19"/>
        <v>21930</v>
      </c>
      <c r="L99">
        <f ca="1" t="shared" si="20"/>
        <v>6119</v>
      </c>
      <c r="M99">
        <f ca="1" t="shared" si="21"/>
        <v>0.0242533815408</v>
      </c>
    </row>
    <row r="100" spans="1:13">
      <c r="A100" t="str">
        <f ca="1">OFFSET($N$2,(ROW(100:100)-2)/35,0)</f>
        <v>河北省</v>
      </c>
      <c r="B100">
        <f ca="1">OFFSET($O$1,0,MOD(ROW(100:100)-2,35))</f>
        <v>2018</v>
      </c>
      <c r="C100">
        <f ca="1" t="shared" si="11"/>
        <v>0.3420228</v>
      </c>
      <c r="D100">
        <f ca="1" t="shared" si="12"/>
        <v>9</v>
      </c>
      <c r="E100">
        <f ca="1" t="shared" si="13"/>
        <v>0</v>
      </c>
      <c r="F100">
        <f ca="1" t="shared" si="14"/>
        <v>0.65835968772</v>
      </c>
      <c r="G100">
        <f ca="1" t="shared" si="15"/>
        <v>0.081428788224</v>
      </c>
      <c r="H100">
        <f ca="1" t="shared" si="16"/>
        <v>0.76146246078</v>
      </c>
      <c r="I100">
        <f ca="1" t="shared" si="17"/>
        <v>1587</v>
      </c>
      <c r="J100">
        <f ca="1" t="shared" si="18"/>
        <v>325</v>
      </c>
      <c r="K100">
        <f ca="1" t="shared" si="19"/>
        <v>33916</v>
      </c>
      <c r="L100">
        <f ca="1" t="shared" si="20"/>
        <v>5546</v>
      </c>
      <c r="M100">
        <f ca="1" t="shared" si="21"/>
        <v>0.02522173848</v>
      </c>
    </row>
    <row r="101" spans="1:13">
      <c r="A101" t="str">
        <f ca="1">OFFSET($N$2,(ROW(101:101)-2)/35,0)</f>
        <v>河北省</v>
      </c>
      <c r="B101">
        <f ca="1">OFFSET($O$1,0,MOD(ROW(101:101)-2,35))</f>
        <v>2019</v>
      </c>
      <c r="C101">
        <f ca="1" t="shared" si="11"/>
        <v>0.33176052</v>
      </c>
      <c r="D101">
        <f ca="1" t="shared" si="12"/>
        <v>10</v>
      </c>
      <c r="E101">
        <f ca="1" t="shared" si="13"/>
        <v>0</v>
      </c>
      <c r="F101">
        <f ca="1" t="shared" si="14"/>
        <v>0.623123667348</v>
      </c>
      <c r="G101">
        <f ca="1" t="shared" si="15"/>
        <v>0.0777265134282</v>
      </c>
      <c r="H101">
        <f ca="1" t="shared" si="16"/>
        <v>0.67372267599</v>
      </c>
      <c r="I101">
        <f ca="1" t="shared" si="17"/>
        <v>1491</v>
      </c>
      <c r="J101">
        <f ca="1" t="shared" si="18"/>
        <v>166</v>
      </c>
      <c r="K101">
        <f ca="1" t="shared" si="19"/>
        <v>35707</v>
      </c>
      <c r="L101">
        <f ca="1" t="shared" si="20"/>
        <v>4891</v>
      </c>
      <c r="M101">
        <f ca="1" t="shared" si="21"/>
        <v>0.0253924762572</v>
      </c>
    </row>
    <row r="102" spans="1:13">
      <c r="A102" t="str">
        <f ca="1">OFFSET($N$2,(ROW(102:102)-2)/35,0)</f>
        <v>河北省</v>
      </c>
      <c r="B102">
        <f ca="1">OFFSET($O$1,0,MOD(ROW(102:102)-2,35))</f>
        <v>2020</v>
      </c>
      <c r="C102">
        <f ca="1" t="shared" si="11"/>
        <v>0.35532</v>
      </c>
      <c r="D102">
        <f ca="1" t="shared" si="12"/>
        <v>10</v>
      </c>
      <c r="E102">
        <f ca="1" t="shared" si="13"/>
        <v>0</v>
      </c>
      <c r="F102">
        <f ca="1" t="shared" si="14"/>
        <v>0.594758304</v>
      </c>
      <c r="G102">
        <f ca="1" t="shared" si="15"/>
        <v>0.087692976</v>
      </c>
      <c r="H102">
        <f ca="1" t="shared" si="16"/>
        <v>0.765110556</v>
      </c>
      <c r="I102">
        <f ca="1" t="shared" si="17"/>
        <v>1792</v>
      </c>
      <c r="J102">
        <f ca="1" t="shared" si="18"/>
        <v>250</v>
      </c>
      <c r="K102">
        <f ca="1" t="shared" si="19"/>
        <v>24400</v>
      </c>
      <c r="L102">
        <f ca="1" t="shared" si="20"/>
        <v>7051</v>
      </c>
      <c r="M102">
        <f ca="1" t="shared" si="21"/>
        <v>0.0258287184</v>
      </c>
    </row>
    <row r="103" spans="1:13">
      <c r="A103" t="str">
        <f ca="1">OFFSET($N$2,(ROW(103:103)-2)/35,0)</f>
        <v>河北省</v>
      </c>
      <c r="B103">
        <f ca="1">OFFSET($O$1,0,MOD(ROW(103:103)-2,35))</f>
        <v>2021</v>
      </c>
      <c r="C103">
        <f ca="1" t="shared" si="11"/>
        <v>0.35301</v>
      </c>
      <c r="D103">
        <f ca="1" t="shared" si="12"/>
        <v>10</v>
      </c>
      <c r="E103">
        <f ca="1" t="shared" si="13"/>
        <v>0</v>
      </c>
      <c r="F103">
        <f ca="1" t="shared" si="14"/>
        <v>0.69684174</v>
      </c>
      <c r="G103">
        <f ca="1" t="shared" si="15"/>
        <v>0.0786823989</v>
      </c>
      <c r="H103">
        <f ca="1" t="shared" si="16"/>
        <v>0.7929487125</v>
      </c>
      <c r="I103">
        <f ca="1" t="shared" si="17"/>
        <v>1857</v>
      </c>
      <c r="J103">
        <f ca="1" t="shared" si="18"/>
        <v>218</v>
      </c>
      <c r="K103">
        <f ca="1" t="shared" si="19"/>
        <v>32741</v>
      </c>
      <c r="L103">
        <f ca="1" t="shared" si="20"/>
        <v>3801</v>
      </c>
      <c r="M103">
        <f ca="1" t="shared" si="21"/>
        <v>0.0261393819</v>
      </c>
    </row>
    <row r="104" spans="1:13">
      <c r="A104" t="str">
        <f ca="1">OFFSET($N$2,(ROW(104:104)-2)/35,0)</f>
        <v>河北省</v>
      </c>
      <c r="B104">
        <f ca="1">OFFSET($O$1,0,MOD(ROW(104:104)-2,35))</f>
        <v>2022</v>
      </c>
      <c r="C104">
        <f ca="1" t="shared" si="11"/>
        <v>0.3582684</v>
      </c>
      <c r="D104">
        <f ca="1" t="shared" si="12"/>
        <v>10</v>
      </c>
      <c r="E104">
        <f ca="1" t="shared" si="13"/>
        <v>0</v>
      </c>
      <c r="F104">
        <f ca="1" t="shared" si="14"/>
        <v>0.7082369154</v>
      </c>
      <c r="G104">
        <f ca="1" t="shared" si="15"/>
        <v>0.076108747554</v>
      </c>
      <c r="H104">
        <f ca="1" t="shared" si="16"/>
        <v>0.8273313027</v>
      </c>
      <c r="I104">
        <f ca="1" t="shared" si="17"/>
        <v>2130</v>
      </c>
      <c r="J104">
        <f ca="1" t="shared" si="18"/>
        <v>344</v>
      </c>
      <c r="K104">
        <f ca="1" t="shared" si="19"/>
        <v>36958</v>
      </c>
      <c r="L104">
        <f ca="1" t="shared" si="20"/>
        <v>4651</v>
      </c>
      <c r="M104">
        <f ca="1" t="shared" si="21"/>
        <v>0.027520643052</v>
      </c>
    </row>
    <row r="105" spans="1:13">
      <c r="A105" t="str">
        <f ca="1">OFFSET($N$2,(ROW(105:105)-2)/35,0)</f>
        <v>河北省</v>
      </c>
      <c r="B105">
        <f ca="1">OFFSET($O$1,0,MOD(ROW(105:105)-2,35))</f>
        <v>2023</v>
      </c>
      <c r="C105">
        <f ca="1" t="shared" si="11"/>
        <v>0.37124136</v>
      </c>
      <c r="D105">
        <f ca="1" t="shared" si="12"/>
        <v>10</v>
      </c>
      <c r="E105">
        <f ca="1" t="shared" si="13"/>
        <v>0</v>
      </c>
      <c r="F105">
        <f ca="1" t="shared" si="14"/>
        <v>0.675436530384</v>
      </c>
      <c r="G105">
        <f ca="1" t="shared" si="15"/>
        <v>0.0893912070744</v>
      </c>
      <c r="H105">
        <f ca="1" t="shared" si="16"/>
        <v>0.921718048608</v>
      </c>
      <c r="I105">
        <f ca="1" t="shared" si="17"/>
        <v>1754</v>
      </c>
      <c r="J105">
        <f ca="1" t="shared" si="18"/>
        <v>264</v>
      </c>
      <c r="K105">
        <f ca="1" t="shared" si="19"/>
        <v>28543</v>
      </c>
      <c r="L105">
        <f ca="1" t="shared" si="20"/>
        <v>4584</v>
      </c>
      <c r="M105">
        <f ca="1" t="shared" si="21"/>
        <v>0.0273875358168</v>
      </c>
    </row>
    <row r="106" spans="1:13">
      <c r="A106" t="str">
        <f ca="1">OFFSET($N$2,(ROW(106:106)-2)/35,0)</f>
        <v>河北省</v>
      </c>
      <c r="B106">
        <f ca="1">OFFSET($O$1,0,MOD(ROW(106:106)-2,35))</f>
        <v>2024</v>
      </c>
      <c r="C106">
        <f ca="1" t="shared" si="11"/>
        <v>0.39403056</v>
      </c>
      <c r="D106">
        <f ca="1" t="shared" si="12"/>
        <v>10</v>
      </c>
      <c r="E106">
        <f ca="1" t="shared" si="13"/>
        <v>0</v>
      </c>
      <c r="F106">
        <f ca="1" t="shared" si="14"/>
        <v>0.699417378352</v>
      </c>
      <c r="G106">
        <f ca="1" t="shared" si="15"/>
        <v>0.080943727788</v>
      </c>
      <c r="H106">
        <f ca="1" t="shared" si="16"/>
        <v>0.88252994676</v>
      </c>
      <c r="I106">
        <f ca="1" t="shared" si="17"/>
        <v>2356</v>
      </c>
      <c r="J106">
        <f ca="1" t="shared" si="18"/>
        <v>237</v>
      </c>
      <c r="K106">
        <f ca="1" t="shared" si="19"/>
        <v>36884</v>
      </c>
      <c r="L106">
        <f ca="1" t="shared" si="20"/>
        <v>7056</v>
      </c>
      <c r="M106">
        <f ca="1" t="shared" si="21"/>
        <v>0.0292894173264</v>
      </c>
    </row>
    <row r="107" spans="1:13">
      <c r="A107" t="str">
        <f ca="1">OFFSET($N$2,(ROW(107:107)-2)/35,0)</f>
        <v>山西省</v>
      </c>
      <c r="B107">
        <f ca="1">OFFSET($O$1,0,MOD(ROW(107:107)-2,35))</f>
        <v>1990</v>
      </c>
      <c r="C107">
        <f ca="1" t="shared" si="11"/>
        <v>0.090216</v>
      </c>
      <c r="D107">
        <f ca="1" t="shared" si="12"/>
        <v>3</v>
      </c>
      <c r="E107">
        <f ca="1" t="shared" si="13"/>
        <v>0</v>
      </c>
      <c r="F107">
        <f ca="1" t="shared" si="14"/>
        <v>0.174462708</v>
      </c>
      <c r="G107">
        <f ca="1" t="shared" si="15"/>
        <v>0.02250032148</v>
      </c>
      <c r="H107">
        <f ca="1" t="shared" si="16"/>
        <v>0.1971354924</v>
      </c>
      <c r="I107">
        <f ca="1" t="shared" si="17"/>
        <v>385</v>
      </c>
      <c r="J107">
        <f ca="1" t="shared" si="18"/>
        <v>11</v>
      </c>
      <c r="K107">
        <f ca="1" t="shared" si="19"/>
        <v>9667</v>
      </c>
      <c r="L107">
        <f ca="1" t="shared" si="20"/>
        <v>1404</v>
      </c>
      <c r="M107">
        <f ca="1" t="shared" si="21"/>
        <v>0.00729306144</v>
      </c>
    </row>
    <row r="108" spans="1:13">
      <c r="A108" t="str">
        <f ca="1">OFFSET($N$2,(ROW(108:108)-2)/35,0)</f>
        <v>山西省</v>
      </c>
      <c r="B108">
        <f ca="1">OFFSET($O$1,0,MOD(ROW(108:108)-2,35))</f>
        <v>1991</v>
      </c>
      <c r="C108">
        <f ca="1" t="shared" si="11"/>
        <v>0.09952404</v>
      </c>
      <c r="D108">
        <f ca="1" t="shared" si="12"/>
        <v>3</v>
      </c>
      <c r="E108">
        <f ca="1" t="shared" si="13"/>
        <v>0</v>
      </c>
      <c r="F108">
        <f ca="1" t="shared" si="14"/>
        <v>0.18771892678</v>
      </c>
      <c r="G108">
        <f ca="1" t="shared" si="15"/>
        <v>0.0226163404698</v>
      </c>
      <c r="H108">
        <f ca="1" t="shared" si="16"/>
        <v>0.220226795712</v>
      </c>
      <c r="I108">
        <f ca="1" t="shared" si="17"/>
        <v>573</v>
      </c>
      <c r="J108">
        <f ca="1" t="shared" si="18"/>
        <v>13</v>
      </c>
      <c r="K108">
        <f ca="1" t="shared" si="19"/>
        <v>6541</v>
      </c>
      <c r="L108">
        <f ca="1" t="shared" si="20"/>
        <v>1754</v>
      </c>
      <c r="M108">
        <f ca="1" t="shared" si="21"/>
        <v>0.0080325852684</v>
      </c>
    </row>
    <row r="109" spans="1:13">
      <c r="A109" t="str">
        <f ca="1">OFFSET($N$2,(ROW(109:109)-2)/35,0)</f>
        <v>山西省</v>
      </c>
      <c r="B109">
        <f ca="1">OFFSET($O$1,0,MOD(ROW(109:109)-2,35))</f>
        <v>1992</v>
      </c>
      <c r="C109">
        <f ca="1" t="shared" si="11"/>
        <v>0.10823904</v>
      </c>
      <c r="D109">
        <f ca="1" t="shared" si="12"/>
        <v>3</v>
      </c>
      <c r="E109">
        <f ca="1" t="shared" si="13"/>
        <v>0</v>
      </c>
      <c r="F109">
        <f ca="1" t="shared" si="14"/>
        <v>0.184717137696</v>
      </c>
      <c r="G109">
        <f ca="1" t="shared" si="15"/>
        <v>0.0224520240672</v>
      </c>
      <c r="H109">
        <f ca="1" t="shared" si="16"/>
        <v>0.225938172096</v>
      </c>
      <c r="I109">
        <f ca="1" t="shared" si="17"/>
        <v>584</v>
      </c>
      <c r="J109">
        <f ca="1" t="shared" si="18"/>
        <v>19</v>
      </c>
      <c r="K109">
        <f ca="1" t="shared" si="19"/>
        <v>9916</v>
      </c>
      <c r="L109">
        <f ca="1" t="shared" si="20"/>
        <v>1432</v>
      </c>
      <c r="M109">
        <f ca="1" t="shared" si="21"/>
        <v>0.0085295456064</v>
      </c>
    </row>
    <row r="110" spans="1:13">
      <c r="A110" t="str">
        <f ca="1">OFFSET($N$2,(ROW(110:110)-2)/35,0)</f>
        <v>山西省</v>
      </c>
      <c r="B110">
        <f ca="1">OFFSET($O$1,0,MOD(ROW(110:110)-2,35))</f>
        <v>1993</v>
      </c>
      <c r="C110">
        <f ca="1" t="shared" si="11"/>
        <v>0.113841</v>
      </c>
      <c r="D110">
        <f ca="1" t="shared" si="12"/>
        <v>4</v>
      </c>
      <c r="E110">
        <f ca="1" t="shared" si="13"/>
        <v>0</v>
      </c>
      <c r="F110">
        <f ca="1" t="shared" si="14"/>
        <v>0.2244982467</v>
      </c>
      <c r="G110">
        <f ca="1" t="shared" si="15"/>
        <v>0.026128217115</v>
      </c>
      <c r="H110">
        <f ca="1" t="shared" si="16"/>
        <v>0.2767816233</v>
      </c>
      <c r="I110">
        <f ca="1" t="shared" si="17"/>
        <v>590</v>
      </c>
      <c r="J110">
        <f ca="1" t="shared" si="18"/>
        <v>13</v>
      </c>
      <c r="K110">
        <f ca="1" t="shared" si="19"/>
        <v>12493</v>
      </c>
      <c r="L110">
        <f ca="1" t="shared" si="20"/>
        <v>1323</v>
      </c>
      <c r="M110">
        <f ca="1" t="shared" si="21"/>
        <v>0.00898286805</v>
      </c>
    </row>
    <row r="111" spans="1:13">
      <c r="A111" t="str">
        <f ca="1">OFFSET($N$2,(ROW(111:111)-2)/35,0)</f>
        <v>山西省</v>
      </c>
      <c r="B111">
        <f ca="1">OFFSET($O$1,0,MOD(ROW(111:111)-2,35))</f>
        <v>1994</v>
      </c>
      <c r="C111">
        <f ca="1" t="shared" si="11"/>
        <v>0.123186</v>
      </c>
      <c r="D111">
        <f ca="1" t="shared" si="12"/>
        <v>4</v>
      </c>
      <c r="E111">
        <f ca="1" t="shared" si="13"/>
        <v>0</v>
      </c>
      <c r="F111">
        <f ca="1" t="shared" si="14"/>
        <v>0.2213488172</v>
      </c>
      <c r="G111">
        <f ca="1" t="shared" si="15"/>
        <v>0.0251484219</v>
      </c>
      <c r="H111">
        <f ca="1" t="shared" si="16"/>
        <v>0.3069671934</v>
      </c>
      <c r="I111">
        <f ca="1" t="shared" si="17"/>
        <v>658</v>
      </c>
      <c r="J111">
        <f ca="1" t="shared" si="18"/>
        <v>19</v>
      </c>
      <c r="K111">
        <f ca="1" t="shared" si="19"/>
        <v>13132</v>
      </c>
      <c r="L111">
        <f ca="1" t="shared" si="20"/>
        <v>2402</v>
      </c>
      <c r="M111">
        <f ca="1" t="shared" si="21"/>
        <v>0.00897691578</v>
      </c>
    </row>
    <row r="112" spans="1:13">
      <c r="A112" t="str">
        <f ca="1">OFFSET($N$2,(ROW(112:112)-2)/35,0)</f>
        <v>山西省</v>
      </c>
      <c r="B112">
        <f ca="1">OFFSET($O$1,0,MOD(ROW(112:112)-2,35))</f>
        <v>1995</v>
      </c>
      <c r="C112">
        <f ca="1" t="shared" si="11"/>
        <v>0.1320102</v>
      </c>
      <c r="D112">
        <f ca="1" t="shared" si="12"/>
        <v>4</v>
      </c>
      <c r="E112">
        <f ca="1" t="shared" si="13"/>
        <v>0</v>
      </c>
      <c r="F112">
        <f ca="1" t="shared" si="14"/>
        <v>0.2416226694</v>
      </c>
      <c r="G112">
        <f ca="1" t="shared" si="15"/>
        <v>0.029347847613</v>
      </c>
      <c r="H112">
        <f ca="1" t="shared" si="16"/>
        <v>0.31241533932</v>
      </c>
      <c r="I112">
        <f ca="1" t="shared" si="17"/>
        <v>679</v>
      </c>
      <c r="J112">
        <f ca="1" t="shared" si="18"/>
        <v>19</v>
      </c>
      <c r="K112">
        <f ca="1" t="shared" si="19"/>
        <v>10020</v>
      </c>
      <c r="L112">
        <f ca="1" t="shared" si="20"/>
        <v>1939</v>
      </c>
      <c r="M112">
        <f ca="1" t="shared" si="21"/>
        <v>0.010485758772</v>
      </c>
    </row>
    <row r="113" spans="1:13">
      <c r="A113" t="str">
        <f ca="1">OFFSET($N$2,(ROW(113:113)-2)/35,0)</f>
        <v>山西省</v>
      </c>
      <c r="B113">
        <f ca="1">OFFSET($O$1,0,MOD(ROW(113:113)-2,35))</f>
        <v>1996</v>
      </c>
      <c r="C113">
        <f ca="1" t="shared" si="11"/>
        <v>0.14344512</v>
      </c>
      <c r="D113">
        <f ca="1" t="shared" si="12"/>
        <v>5</v>
      </c>
      <c r="E113">
        <f ca="1" t="shared" si="13"/>
        <v>0</v>
      </c>
      <c r="F113">
        <f ca="1" t="shared" si="14"/>
        <v>0.25215261344</v>
      </c>
      <c r="G113">
        <f ca="1" t="shared" si="15"/>
        <v>0.034710132912</v>
      </c>
      <c r="H113">
        <f ca="1" t="shared" si="16"/>
        <v>0.319194081024</v>
      </c>
      <c r="I113">
        <f ca="1" t="shared" si="17"/>
        <v>744</v>
      </c>
      <c r="J113">
        <f ca="1" t="shared" si="18"/>
        <v>28</v>
      </c>
      <c r="K113">
        <f ca="1" t="shared" si="19"/>
        <v>12314</v>
      </c>
      <c r="L113">
        <f ca="1" t="shared" si="20"/>
        <v>1464</v>
      </c>
      <c r="M113">
        <f ca="1" t="shared" si="21"/>
        <v>0.0111971211456</v>
      </c>
    </row>
    <row r="114" spans="1:13">
      <c r="A114" t="str">
        <f ca="1">OFFSET($N$2,(ROW(114:114)-2)/35,0)</f>
        <v>山西省</v>
      </c>
      <c r="B114">
        <f ca="1">OFFSET($O$1,0,MOD(ROW(114:114)-2,35))</f>
        <v>1997</v>
      </c>
      <c r="C114">
        <f ca="1" t="shared" si="11"/>
        <v>0.156366</v>
      </c>
      <c r="D114">
        <f ca="1" t="shared" si="12"/>
        <v>5</v>
      </c>
      <c r="E114">
        <f ca="1" t="shared" si="13"/>
        <v>0</v>
      </c>
      <c r="F114">
        <f ca="1" t="shared" si="14"/>
        <v>0.2687618808</v>
      </c>
      <c r="G114">
        <f ca="1" t="shared" si="15"/>
        <v>0.0326492208</v>
      </c>
      <c r="H114">
        <f ca="1" t="shared" si="16"/>
        <v>0.3800162898</v>
      </c>
      <c r="I114">
        <f ca="1" t="shared" si="17"/>
        <v>871</v>
      </c>
      <c r="J114">
        <f ca="1" t="shared" si="18"/>
        <v>16</v>
      </c>
      <c r="K114">
        <f ca="1" t="shared" si="19"/>
        <v>10116</v>
      </c>
      <c r="L114">
        <f ca="1" t="shared" si="20"/>
        <v>2730</v>
      </c>
      <c r="M114">
        <f ca="1" t="shared" si="21"/>
        <v>0.01306125198</v>
      </c>
    </row>
    <row r="115" spans="1:13">
      <c r="A115" t="str">
        <f ca="1">OFFSET($N$2,(ROW(115:115)-2)/35,0)</f>
        <v>山西省</v>
      </c>
      <c r="B115">
        <f ca="1">OFFSET($O$1,0,MOD(ROW(115:115)-2,35))</f>
        <v>1998</v>
      </c>
      <c r="C115">
        <f ca="1" t="shared" si="11"/>
        <v>0.15809472</v>
      </c>
      <c r="D115">
        <f ca="1" t="shared" si="12"/>
        <v>5</v>
      </c>
      <c r="E115">
        <f ca="1" t="shared" si="13"/>
        <v>0</v>
      </c>
      <c r="F115">
        <f ca="1" t="shared" si="14"/>
        <v>0.279790765632</v>
      </c>
      <c r="G115">
        <f ca="1" t="shared" si="15"/>
        <v>0.0364439948544</v>
      </c>
      <c r="H115">
        <f ca="1" t="shared" si="16"/>
        <v>0.326117788416</v>
      </c>
      <c r="I115">
        <f ca="1" t="shared" si="17"/>
        <v>674</v>
      </c>
      <c r="J115">
        <f ca="1" t="shared" si="18"/>
        <v>26</v>
      </c>
      <c r="K115">
        <f ca="1" t="shared" si="19"/>
        <v>11702</v>
      </c>
      <c r="L115">
        <f ca="1" t="shared" si="20"/>
        <v>2152</v>
      </c>
      <c r="M115">
        <f ca="1" t="shared" si="21"/>
        <v>0.0122006212416</v>
      </c>
    </row>
    <row r="116" spans="1:13">
      <c r="A116" t="str">
        <f ca="1">OFFSET($N$2,(ROW(116:116)-2)/35,0)</f>
        <v>山西省</v>
      </c>
      <c r="B116">
        <f ca="1">OFFSET($O$1,0,MOD(ROW(116:116)-2,35))</f>
        <v>1999</v>
      </c>
      <c r="C116">
        <f ca="1" t="shared" si="11"/>
        <v>0.16831416</v>
      </c>
      <c r="D116">
        <f ca="1" t="shared" si="12"/>
        <v>5</v>
      </c>
      <c r="E116">
        <f ca="1" t="shared" si="13"/>
        <v>0</v>
      </c>
      <c r="F116">
        <f ca="1" t="shared" si="14"/>
        <v>0.331079563192</v>
      </c>
      <c r="G116">
        <f ca="1" t="shared" si="15"/>
        <v>0.0413068195764</v>
      </c>
      <c r="H116">
        <f ca="1" t="shared" si="16"/>
        <v>0.377898952032</v>
      </c>
      <c r="I116">
        <f ca="1" t="shared" si="17"/>
        <v>703</v>
      </c>
      <c r="J116">
        <f ca="1" t="shared" si="18"/>
        <v>19</v>
      </c>
      <c r="K116">
        <f ca="1" t="shared" si="19"/>
        <v>14535</v>
      </c>
      <c r="L116">
        <f ca="1" t="shared" si="20"/>
        <v>3067</v>
      </c>
      <c r="M116">
        <f ca="1" t="shared" si="21"/>
        <v>0.012224416992</v>
      </c>
    </row>
    <row r="117" spans="1:13">
      <c r="A117" t="str">
        <f ca="1">OFFSET($N$2,(ROW(117:117)-2)/35,0)</f>
        <v>山西省</v>
      </c>
      <c r="B117">
        <f ca="1">OFFSET($O$1,0,MOD(ROW(117:117)-2,35))</f>
        <v>2000</v>
      </c>
      <c r="C117">
        <f ca="1" t="shared" si="11"/>
        <v>0.1715952</v>
      </c>
      <c r="D117">
        <f ca="1" t="shared" si="12"/>
        <v>6</v>
      </c>
      <c r="E117">
        <f ca="1" t="shared" si="13"/>
        <v>0</v>
      </c>
      <c r="F117">
        <f ca="1" t="shared" si="14"/>
        <v>0.30805914272</v>
      </c>
      <c r="G117">
        <f ca="1" t="shared" si="15"/>
        <v>0.04061658384</v>
      </c>
      <c r="H117">
        <f ca="1" t="shared" si="16"/>
        <v>0.36604688064</v>
      </c>
      <c r="I117">
        <f ca="1" t="shared" si="17"/>
        <v>871</v>
      </c>
      <c r="J117">
        <f ca="1" t="shared" si="18"/>
        <v>18</v>
      </c>
      <c r="K117">
        <f ca="1" t="shared" si="19"/>
        <v>15707</v>
      </c>
      <c r="L117">
        <f ca="1" t="shared" si="20"/>
        <v>2422</v>
      </c>
      <c r="M117">
        <f ca="1" t="shared" si="21"/>
        <v>0.01433555328</v>
      </c>
    </row>
    <row r="118" spans="1:13">
      <c r="A118" t="str">
        <f ca="1">OFFSET($N$2,(ROW(118:118)-2)/35,0)</f>
        <v>山西省</v>
      </c>
      <c r="B118">
        <f ca="1">OFFSET($O$1,0,MOD(ROW(118:118)-2,35))</f>
        <v>2001</v>
      </c>
      <c r="C118">
        <f ca="1" t="shared" si="11"/>
        <v>0.19215252</v>
      </c>
      <c r="D118">
        <f ca="1" t="shared" si="12"/>
        <v>7</v>
      </c>
      <c r="E118">
        <f ca="1" t="shared" si="13"/>
        <v>0</v>
      </c>
      <c r="F118">
        <f ca="1" t="shared" si="14"/>
        <v>0.372000873636</v>
      </c>
      <c r="G118">
        <f ca="1" t="shared" si="15"/>
        <v>0.0388272989538</v>
      </c>
      <c r="H118">
        <f ca="1" t="shared" si="16"/>
        <v>0.471628752714</v>
      </c>
      <c r="I118">
        <f ca="1" t="shared" si="17"/>
        <v>1032</v>
      </c>
      <c r="J118">
        <f ca="1" t="shared" si="18"/>
        <v>20</v>
      </c>
      <c r="K118">
        <f ca="1" t="shared" si="19"/>
        <v>13785</v>
      </c>
      <c r="L118">
        <f ca="1" t="shared" si="20"/>
        <v>2849</v>
      </c>
      <c r="M118">
        <f ca="1" t="shared" si="21"/>
        <v>0.0157463500068</v>
      </c>
    </row>
    <row r="119" spans="1:13">
      <c r="A119" t="str">
        <f ca="1">OFFSET($N$2,(ROW(119:119)-2)/35,0)</f>
        <v>山西省</v>
      </c>
      <c r="B119">
        <f ca="1">OFFSET($O$1,0,MOD(ROW(119:119)-2,35))</f>
        <v>2002</v>
      </c>
      <c r="C119">
        <f ca="1" t="shared" si="11"/>
        <v>0.19926984</v>
      </c>
      <c r="D119">
        <f ca="1" t="shared" si="12"/>
        <v>7</v>
      </c>
      <c r="E119">
        <f ca="1" t="shared" si="13"/>
        <v>0</v>
      </c>
      <c r="F119">
        <f ca="1" t="shared" si="14"/>
        <v>0.363076290808</v>
      </c>
      <c r="G119">
        <f ca="1" t="shared" si="15"/>
        <v>0.0447500279688</v>
      </c>
      <c r="H119">
        <f ca="1" t="shared" si="16"/>
        <v>0.467626533528</v>
      </c>
      <c r="I119">
        <f ca="1" t="shared" si="17"/>
        <v>911</v>
      </c>
      <c r="J119">
        <f ca="1" t="shared" si="18"/>
        <v>30</v>
      </c>
      <c r="K119">
        <f ca="1" t="shared" si="19"/>
        <v>20719</v>
      </c>
      <c r="L119">
        <f ca="1" t="shared" si="20"/>
        <v>3923</v>
      </c>
      <c r="M119">
        <f ca="1" t="shared" si="21"/>
        <v>0.0168428562192</v>
      </c>
    </row>
    <row r="120" spans="1:13">
      <c r="A120" t="str">
        <f ca="1">OFFSET($N$2,(ROW(120:120)-2)/35,0)</f>
        <v>山西省</v>
      </c>
      <c r="B120">
        <f ca="1">OFFSET($O$1,0,MOD(ROW(120:120)-2,35))</f>
        <v>2003</v>
      </c>
      <c r="C120">
        <f ca="1" t="shared" si="11"/>
        <v>0.20873328</v>
      </c>
      <c r="D120">
        <f ca="1" t="shared" si="12"/>
        <v>7</v>
      </c>
      <c r="E120">
        <f ca="1" t="shared" si="13"/>
        <v>0</v>
      </c>
      <c r="F120">
        <f ca="1" t="shared" si="14"/>
        <v>0.395347790096</v>
      </c>
      <c r="G120">
        <f ca="1" t="shared" si="15"/>
        <v>0.0423018865248</v>
      </c>
      <c r="H120">
        <f ca="1" t="shared" si="16"/>
        <v>0.434509632312</v>
      </c>
      <c r="I120">
        <f ca="1" t="shared" si="17"/>
        <v>1231</v>
      </c>
      <c r="J120">
        <f ca="1" t="shared" si="18"/>
        <v>35</v>
      </c>
      <c r="K120">
        <f ca="1" t="shared" si="19"/>
        <v>19720</v>
      </c>
      <c r="L120">
        <f ca="1" t="shared" si="20"/>
        <v>2916</v>
      </c>
      <c r="M120">
        <f ca="1" t="shared" si="21"/>
        <v>0.0176981966208</v>
      </c>
    </row>
    <row r="121" spans="1:13">
      <c r="A121" t="str">
        <f ca="1">OFFSET($N$2,(ROW(121:121)-2)/35,0)</f>
        <v>山西省</v>
      </c>
      <c r="B121">
        <f ca="1">OFFSET($O$1,0,MOD(ROW(121:121)-2,35))</f>
        <v>2004</v>
      </c>
      <c r="C121">
        <f ca="1" t="shared" si="11"/>
        <v>0.21305088</v>
      </c>
      <c r="D121">
        <f ca="1" t="shared" si="12"/>
        <v>7</v>
      </c>
      <c r="E121">
        <f ca="1" t="shared" si="13"/>
        <v>0</v>
      </c>
      <c r="F121">
        <f ca="1" t="shared" si="14"/>
        <v>0.387014025216</v>
      </c>
      <c r="G121">
        <f ca="1" t="shared" si="15"/>
        <v>0.0446469424128</v>
      </c>
      <c r="H121">
        <f ca="1" t="shared" si="16"/>
        <v>0.486597557376</v>
      </c>
      <c r="I121">
        <f ca="1" t="shared" si="17"/>
        <v>1212</v>
      </c>
      <c r="J121">
        <f ca="1" t="shared" si="18"/>
        <v>25</v>
      </c>
      <c r="K121">
        <f ca="1" t="shared" si="19"/>
        <v>22915</v>
      </c>
      <c r="L121">
        <f ca="1" t="shared" si="20"/>
        <v>4202</v>
      </c>
      <c r="M121">
        <f ca="1" t="shared" si="21"/>
        <v>0.017033417856</v>
      </c>
    </row>
    <row r="122" spans="1:13">
      <c r="A122" t="str">
        <f ca="1">OFFSET($N$2,(ROW(122:122)-2)/35,0)</f>
        <v>山西省</v>
      </c>
      <c r="B122">
        <f ca="1">OFFSET($O$1,0,MOD(ROW(122:122)-2,35))</f>
        <v>2005</v>
      </c>
      <c r="C122">
        <f ca="1" t="shared" si="11"/>
        <v>0.222453</v>
      </c>
      <c r="D122">
        <f ca="1" t="shared" si="12"/>
        <v>7</v>
      </c>
      <c r="E122">
        <f ca="1" t="shared" si="13"/>
        <v>0</v>
      </c>
      <c r="F122">
        <f ca="1" t="shared" si="14"/>
        <v>0.4257676269</v>
      </c>
      <c r="G122">
        <f ca="1" t="shared" si="15"/>
        <v>0.053303075595</v>
      </c>
      <c r="H122">
        <f ca="1" t="shared" si="16"/>
        <v>0.50689252845</v>
      </c>
      <c r="I122">
        <f ca="1" t="shared" si="17"/>
        <v>1032</v>
      </c>
      <c r="J122">
        <f ca="1" t="shared" si="18"/>
        <v>38</v>
      </c>
      <c r="K122">
        <f ca="1" t="shared" si="19"/>
        <v>17530</v>
      </c>
      <c r="L122">
        <f ca="1" t="shared" si="20"/>
        <v>3224</v>
      </c>
      <c r="M122">
        <f ca="1" t="shared" si="21"/>
        <v>0.01637349417</v>
      </c>
    </row>
    <row r="123" spans="1:13">
      <c r="A123" t="str">
        <f ca="1">OFFSET($N$2,(ROW(123:123)-2)/35,0)</f>
        <v>山西省</v>
      </c>
      <c r="B123">
        <f ca="1">OFFSET($O$1,0,MOD(ROW(123:123)-2,35))</f>
        <v>2006</v>
      </c>
      <c r="C123">
        <f ca="1" t="shared" si="11"/>
        <v>0.23633064</v>
      </c>
      <c r="D123">
        <f ca="1" t="shared" si="12"/>
        <v>7</v>
      </c>
      <c r="E123">
        <f ca="1" t="shared" si="13"/>
        <v>0</v>
      </c>
      <c r="F123">
        <f ca="1" t="shared" si="14"/>
        <v>0.399493313856</v>
      </c>
      <c r="G123">
        <f ca="1" t="shared" si="15"/>
        <v>0.0564522999768</v>
      </c>
      <c r="H123">
        <f ca="1" t="shared" si="16"/>
        <v>0.542768764356</v>
      </c>
      <c r="I123">
        <f ca="1" t="shared" si="17"/>
        <v>1252</v>
      </c>
      <c r="J123">
        <f ca="1" t="shared" si="18"/>
        <v>43</v>
      </c>
      <c r="K123">
        <f ca="1" t="shared" si="19"/>
        <v>17004</v>
      </c>
      <c r="L123">
        <f ca="1" t="shared" si="20"/>
        <v>4317</v>
      </c>
      <c r="M123">
        <f ca="1" t="shared" si="21"/>
        <v>0.0194895126504</v>
      </c>
    </row>
    <row r="124" spans="1:13">
      <c r="A124" t="str">
        <f ca="1">OFFSET($N$2,(ROW(124:124)-2)/35,0)</f>
        <v>山西省</v>
      </c>
      <c r="B124">
        <f ca="1">OFFSET($O$1,0,MOD(ROW(124:124)-2,35))</f>
        <v>2007</v>
      </c>
      <c r="C124">
        <f ca="1" t="shared" si="11"/>
        <v>0.24855012</v>
      </c>
      <c r="D124">
        <f ca="1" t="shared" si="12"/>
        <v>7</v>
      </c>
      <c r="E124">
        <f ca="1" t="shared" si="13"/>
        <v>0</v>
      </c>
      <c r="F124">
        <f ca="1" t="shared" si="14"/>
        <v>0.446859975744</v>
      </c>
      <c r="G124">
        <f ca="1" t="shared" si="15"/>
        <v>0.0533898085266</v>
      </c>
      <c r="H124">
        <f ca="1" t="shared" si="16"/>
        <v>0.521719129386</v>
      </c>
      <c r="I124">
        <f ca="1" t="shared" si="17"/>
        <v>1204</v>
      </c>
      <c r="J124">
        <f ca="1" t="shared" si="18"/>
        <v>29</v>
      </c>
      <c r="K124">
        <f ca="1" t="shared" si="19"/>
        <v>19120</v>
      </c>
      <c r="L124">
        <f ca="1" t="shared" si="20"/>
        <v>3649</v>
      </c>
      <c r="M124">
        <f ca="1" t="shared" si="21"/>
        <v>0.0178544203344</v>
      </c>
    </row>
    <row r="125" spans="1:13">
      <c r="A125" t="str">
        <f ca="1">OFFSET($N$2,(ROW(125:125)-2)/35,0)</f>
        <v>山西省</v>
      </c>
      <c r="B125">
        <f ca="1">OFFSET($O$1,0,MOD(ROW(125:125)-2,35))</f>
        <v>2008</v>
      </c>
      <c r="C125">
        <f ca="1" t="shared" si="11"/>
        <v>0.25022928</v>
      </c>
      <c r="D125">
        <f ca="1" t="shared" si="12"/>
        <v>7</v>
      </c>
      <c r="E125">
        <f ca="1" t="shared" si="13"/>
        <v>0</v>
      </c>
      <c r="F125">
        <f ca="1" t="shared" si="14"/>
        <v>0.456685117952</v>
      </c>
      <c r="G125">
        <f ca="1" t="shared" si="15"/>
        <v>0.054212173512</v>
      </c>
      <c r="H125">
        <f ca="1" t="shared" si="16"/>
        <v>0.548765322504</v>
      </c>
      <c r="I125">
        <f ca="1" t="shared" si="17"/>
        <v>1396</v>
      </c>
      <c r="J125">
        <f ca="1" t="shared" si="18"/>
        <v>44</v>
      </c>
      <c r="K125">
        <f ca="1" t="shared" si="19"/>
        <v>20392</v>
      </c>
      <c r="L125">
        <f ca="1" t="shared" si="20"/>
        <v>3632</v>
      </c>
      <c r="M125">
        <f ca="1" t="shared" si="21"/>
        <v>0.01794501408</v>
      </c>
    </row>
    <row r="126" spans="1:13">
      <c r="A126" t="str">
        <f ca="1">OFFSET($N$2,(ROW(126:126)-2)/35,0)</f>
        <v>山西省</v>
      </c>
      <c r="B126">
        <f ca="1">OFFSET($O$1,0,MOD(ROW(126:126)-2,35))</f>
        <v>2009</v>
      </c>
      <c r="C126">
        <f ca="1" t="shared" si="11"/>
        <v>0.25938528</v>
      </c>
      <c r="D126">
        <f ca="1" t="shared" si="12"/>
        <v>7</v>
      </c>
      <c r="E126">
        <f ca="1" t="shared" si="13"/>
        <v>1</v>
      </c>
      <c r="F126">
        <f ca="1" t="shared" si="14"/>
        <v>0.432715170272</v>
      </c>
      <c r="G126">
        <f ca="1" t="shared" si="15"/>
        <v>0.057538139736</v>
      </c>
      <c r="H126">
        <f ca="1" t="shared" si="16"/>
        <v>0.536551420944</v>
      </c>
      <c r="I126">
        <f ca="1" t="shared" si="17"/>
        <v>1499</v>
      </c>
      <c r="J126">
        <f ca="1" t="shared" si="18"/>
        <v>52</v>
      </c>
      <c r="K126">
        <f ca="1" t="shared" si="19"/>
        <v>24809</v>
      </c>
      <c r="L126">
        <f ca="1" t="shared" si="20"/>
        <v>3584</v>
      </c>
      <c r="M126">
        <f ca="1" t="shared" si="21"/>
        <v>0.0208049227584</v>
      </c>
    </row>
    <row r="127" spans="1:13">
      <c r="A127" t="str">
        <f ca="1">OFFSET($N$2,(ROW(127:127)-2)/35,0)</f>
        <v>山西省</v>
      </c>
      <c r="B127">
        <f ca="1">OFFSET($O$1,0,MOD(ROW(127:127)-2,35))</f>
        <v>2010</v>
      </c>
      <c r="C127">
        <f ca="1" t="shared" si="11"/>
        <v>0.2760912</v>
      </c>
      <c r="D127">
        <f ca="1" t="shared" si="12"/>
        <v>7</v>
      </c>
      <c r="E127">
        <f ca="1" t="shared" si="13"/>
        <v>1</v>
      </c>
      <c r="F127">
        <f ca="1" t="shared" si="14"/>
        <v>0.47691993888</v>
      </c>
      <c r="G127">
        <f ca="1" t="shared" si="15"/>
        <v>0.06133366008</v>
      </c>
      <c r="H127">
        <f ca="1" t="shared" si="16"/>
        <v>0.61329518712</v>
      </c>
      <c r="I127">
        <f ca="1" t="shared" si="17"/>
        <v>1567</v>
      </c>
      <c r="J127">
        <f ca="1" t="shared" si="18"/>
        <v>43</v>
      </c>
      <c r="K127">
        <f ca="1" t="shared" si="19"/>
        <v>24283</v>
      </c>
      <c r="L127">
        <f ca="1" t="shared" si="20"/>
        <v>3998</v>
      </c>
      <c r="M127">
        <f ca="1" t="shared" si="21"/>
        <v>0.021605319648</v>
      </c>
    </row>
    <row r="128" spans="1:13">
      <c r="A128" t="str">
        <f ca="1">OFFSET($N$2,(ROW(128:128)-2)/35,0)</f>
        <v>山西省</v>
      </c>
      <c r="B128">
        <f ca="1">OFFSET($O$1,0,MOD(ROW(128:128)-2,35))</f>
        <v>2011</v>
      </c>
      <c r="C128">
        <f ca="1" t="shared" si="11"/>
        <v>0.27972168</v>
      </c>
      <c r="D128">
        <f ca="1" t="shared" si="12"/>
        <v>8</v>
      </c>
      <c r="E128">
        <f ca="1" t="shared" si="13"/>
        <v>1</v>
      </c>
      <c r="F128">
        <f ca="1" t="shared" si="14"/>
        <v>0.495927890528</v>
      </c>
      <c r="G128">
        <f ca="1" t="shared" si="15"/>
        <v>0.062007303414</v>
      </c>
      <c r="H128">
        <f ca="1" t="shared" si="16"/>
        <v>0.682045372344</v>
      </c>
      <c r="I128">
        <f ca="1" t="shared" si="17"/>
        <v>1619</v>
      </c>
      <c r="J128">
        <f ca="1" t="shared" si="18"/>
        <v>52</v>
      </c>
      <c r="K128">
        <f ca="1" t="shared" si="19"/>
        <v>32818</v>
      </c>
      <c r="L128">
        <f ca="1" t="shared" si="20"/>
        <v>4764</v>
      </c>
      <c r="M128">
        <f ca="1" t="shared" si="21"/>
        <v>0.0222051061632</v>
      </c>
    </row>
    <row r="129" spans="1:13">
      <c r="A129" t="str">
        <f ca="1">OFFSET($N$2,(ROW(129:129)-2)/35,0)</f>
        <v>山西省</v>
      </c>
      <c r="B129">
        <f ca="1">OFFSET($O$1,0,MOD(ROW(129:129)-2,35))</f>
        <v>2012</v>
      </c>
      <c r="C129">
        <f ca="1" t="shared" si="11"/>
        <v>0.27385344</v>
      </c>
      <c r="D129">
        <f ca="1" t="shared" si="12"/>
        <v>8</v>
      </c>
      <c r="E129">
        <f ca="1" t="shared" si="13"/>
        <v>1</v>
      </c>
      <c r="F129">
        <f ca="1" t="shared" si="14"/>
        <v>0.47755475712</v>
      </c>
      <c r="G129">
        <f ca="1" t="shared" si="15"/>
        <v>0.0563631457536</v>
      </c>
      <c r="H129">
        <f ca="1" t="shared" si="16"/>
        <v>0.673172833536</v>
      </c>
      <c r="I129">
        <f ca="1" t="shared" si="17"/>
        <v>1097</v>
      </c>
      <c r="J129">
        <f ca="1" t="shared" si="18"/>
        <v>32</v>
      </c>
      <c r="K129">
        <f ca="1" t="shared" si="19"/>
        <v>17199</v>
      </c>
      <c r="L129">
        <f ca="1" t="shared" si="20"/>
        <v>5142</v>
      </c>
      <c r="M129">
        <f ca="1" t="shared" si="21"/>
        <v>0.0205503533568</v>
      </c>
    </row>
    <row r="130" spans="1:13">
      <c r="A130" t="str">
        <f ca="1">OFFSET($N$2,(ROW(130:130)-2)/35,0)</f>
        <v>山西省</v>
      </c>
      <c r="B130">
        <f ca="1">OFFSET($O$1,0,MOD(ROW(130:130)-2,35))</f>
        <v>2013</v>
      </c>
      <c r="C130">
        <f ca="1" t="shared" si="11"/>
        <v>0.2828826</v>
      </c>
      <c r="D130">
        <f ca="1" t="shared" si="12"/>
        <v>8</v>
      </c>
      <c r="E130">
        <f ca="1" t="shared" si="13"/>
        <v>1</v>
      </c>
      <c r="F130">
        <f ca="1" t="shared" si="14"/>
        <v>0.4976376405</v>
      </c>
      <c r="G130">
        <f ca="1" t="shared" si="15"/>
        <v>0.069922921068</v>
      </c>
      <c r="H130">
        <f ca="1" t="shared" si="16"/>
        <v>0.6736849119</v>
      </c>
      <c r="I130">
        <f ca="1" t="shared" si="17"/>
        <v>1247</v>
      </c>
      <c r="J130">
        <f ca="1" t="shared" si="18"/>
        <v>40</v>
      </c>
      <c r="K130">
        <f ca="1" t="shared" si="19"/>
        <v>33050</v>
      </c>
      <c r="L130">
        <f ca="1" t="shared" si="20"/>
        <v>5217</v>
      </c>
      <c r="M130">
        <f ca="1" t="shared" si="21"/>
        <v>0.020744185176</v>
      </c>
    </row>
    <row r="131" spans="1:13">
      <c r="A131" t="str">
        <f ca="1">OFFSET($N$2,(ROW(131:131)-2)/35,0)</f>
        <v>山西省</v>
      </c>
      <c r="B131">
        <f ca="1">OFFSET($O$1,0,MOD(ROW(131:131)-2,35))</f>
        <v>2014</v>
      </c>
      <c r="C131">
        <f ca="1" t="shared" ref="C131:C194" si="22">IF(OR(A131="北京市",A131="上海市",A131="广东省"),(B131-1980)*RANDBETWEEN(15000,16000)/500000,IF(OR(A131="西藏自治区",A131="新疆维吾尔自治区",A131="青海省",A131="广西壮族自治区",A131="内蒙古自治区",A131="宁夏回族自治区",A131="贵州省",A131="甘肃省",A131="陕西省",A131="云南省"),(B131-1980)*RANDBETWEEN(7000,8000)/500000,IF(OR(A131="浙江省",A131="江苏省",A131="山东省",A131="辽宁省"),(B131-1980)*RANDBETWEEN(13000,14000)/500000,(B131-1980)*RANDBETWEEN(10000,11000)/500000)))*0.42</f>
        <v>0.29936592</v>
      </c>
      <c r="D131">
        <f ca="1" t="shared" ref="D131:D194" si="23">IF($B131=1990,ROUND($C131*RANDBETWEEN(10000,20000)/500,0),ROUND(D130+RANDBETWEEN(0,5)/10,0))</f>
        <v>8</v>
      </c>
      <c r="E131">
        <f ca="1" t="shared" ref="E131:E194" si="24">IF($B131=1990,ROUND($C131*RANDBETWEEN(10000,20000)/5000,0),ROUND(E130+RANDBETWEEN(0,20)/40,0))</f>
        <v>1</v>
      </c>
      <c r="F131">
        <f ca="1" t="shared" ref="F131:F194" si="25">$C131*RANDBETWEEN(50000,60000)/30000</f>
        <v>0.504870645216</v>
      </c>
      <c r="G131">
        <f ca="1" t="shared" ref="G131:G194" si="26">$C131*RANDBETWEEN(40000,50000)/200000</f>
        <v>0.0746828160624</v>
      </c>
      <c r="H131">
        <f ca="1" t="shared" ref="H131:H194" si="27">$C131*RANDBETWEEN(40000,50000)/20000</f>
        <v>0.712161587088</v>
      </c>
      <c r="I131">
        <f ca="1" t="shared" ref="I131:I194" si="28">ROUND($C131*RANDBETWEEN(20000,30000)/5,0)</f>
        <v>1571</v>
      </c>
      <c r="J131">
        <f ca="1" t="shared" ref="J131:J194" si="29">IF(B131&lt;2015,ROUND($C131*RANDBETWEEN(10000,20000)/100,0),IF(B131&lt;2018,ROUND($C131*RANDBETWEEN(10000,20000)/70,0),ROUND($C131*RANDBETWEEN(10000,20000)/20,0)))</f>
        <v>47</v>
      </c>
      <c r="K131">
        <f ca="1" t="shared" ref="K131:K194" si="30">ROUND($C131*RANDBETWEEN(10000,20000)*6,0)</f>
        <v>34812</v>
      </c>
      <c r="L131">
        <f ca="1" t="shared" ref="L131:L194" si="31">ROUND($C131*RANDBETWEEN(10000,20000)*1,0)</f>
        <v>3378</v>
      </c>
      <c r="M131">
        <f ca="1" t="shared" ref="M131:M194" si="32">$C131*RANDBETWEEN(50000,60000)/700000</f>
        <v>0.0227731932</v>
      </c>
    </row>
    <row r="132" spans="1:13">
      <c r="A132" t="str">
        <f ca="1">OFFSET($N$2,(ROW(132:132)-2)/35,0)</f>
        <v>山西省</v>
      </c>
      <c r="B132">
        <f ca="1">OFFSET($O$1,0,MOD(ROW(132:132)-2,35))</f>
        <v>2015</v>
      </c>
      <c r="C132">
        <f ca="1" t="shared" si="22"/>
        <v>0.3032022</v>
      </c>
      <c r="D132">
        <f ca="1" t="shared" si="23"/>
        <v>8</v>
      </c>
      <c r="E132">
        <f ca="1" t="shared" si="24"/>
        <v>1</v>
      </c>
      <c r="F132">
        <f ca="1" t="shared" si="25"/>
        <v>0.5153932063</v>
      </c>
      <c r="G132">
        <f ca="1" t="shared" si="26"/>
        <v>0.067374560862</v>
      </c>
      <c r="H132">
        <f ca="1" t="shared" si="27"/>
        <v>0.63223722744</v>
      </c>
      <c r="I132">
        <f ca="1" t="shared" si="28"/>
        <v>1229</v>
      </c>
      <c r="J132">
        <f ca="1" t="shared" si="29"/>
        <v>74</v>
      </c>
      <c r="K132">
        <f ca="1" t="shared" si="30"/>
        <v>19917</v>
      </c>
      <c r="L132">
        <f ca="1" t="shared" si="31"/>
        <v>5861</v>
      </c>
      <c r="M132">
        <f ca="1" t="shared" si="32"/>
        <v>0.024056062548</v>
      </c>
    </row>
    <row r="133" spans="1:13">
      <c r="A133" t="str">
        <f ca="1">OFFSET($N$2,(ROW(133:133)-2)/35,0)</f>
        <v>山西省</v>
      </c>
      <c r="B133">
        <f ca="1">OFFSET($O$1,0,MOD(ROW(133:133)-2,35))</f>
        <v>2016</v>
      </c>
      <c r="C133">
        <f ca="1" t="shared" si="22"/>
        <v>0.32408208</v>
      </c>
      <c r="D133">
        <f ca="1" t="shared" si="23"/>
        <v>9</v>
      </c>
      <c r="E133">
        <f ca="1" t="shared" si="24"/>
        <v>1</v>
      </c>
      <c r="F133">
        <f ca="1" t="shared" si="25"/>
        <v>0.57157276176</v>
      </c>
      <c r="G133">
        <f ca="1" t="shared" si="26"/>
        <v>0.0790792683408</v>
      </c>
      <c r="H133">
        <f ca="1" t="shared" si="27"/>
        <v>0.804193477416</v>
      </c>
      <c r="I133">
        <f ca="1" t="shared" si="28"/>
        <v>1893</v>
      </c>
      <c r="J133">
        <f ca="1" t="shared" si="29"/>
        <v>64</v>
      </c>
      <c r="K133">
        <f ca="1" t="shared" si="30"/>
        <v>36078</v>
      </c>
      <c r="L133">
        <f ca="1" t="shared" si="31"/>
        <v>6321</v>
      </c>
      <c r="M133">
        <f ca="1" t="shared" si="32"/>
        <v>0.0237408642576</v>
      </c>
    </row>
    <row r="134" spans="1:13">
      <c r="A134" t="str">
        <f ca="1">OFFSET($N$2,(ROW(134:134)-2)/35,0)</f>
        <v>山西省</v>
      </c>
      <c r="B134">
        <f ca="1">OFFSET($O$1,0,MOD(ROW(134:134)-2,35))</f>
        <v>2017</v>
      </c>
      <c r="C134">
        <f ca="1" t="shared" si="22"/>
        <v>0.33476268</v>
      </c>
      <c r="D134">
        <f ca="1" t="shared" si="23"/>
        <v>9</v>
      </c>
      <c r="E134">
        <f ca="1" t="shared" si="24"/>
        <v>1</v>
      </c>
      <c r="F134">
        <f ca="1" t="shared" si="25"/>
        <v>0.584975465788</v>
      </c>
      <c r="G134">
        <f ca="1" t="shared" si="26"/>
        <v>0.0780716784162</v>
      </c>
      <c r="H134">
        <f ca="1" t="shared" si="27"/>
        <v>0.692573770518</v>
      </c>
      <c r="I134">
        <f ca="1" t="shared" si="28"/>
        <v>1978</v>
      </c>
      <c r="J134">
        <f ca="1" t="shared" si="29"/>
        <v>57</v>
      </c>
      <c r="K134">
        <f ca="1" t="shared" si="30"/>
        <v>26786</v>
      </c>
      <c r="L134">
        <f ca="1" t="shared" si="31"/>
        <v>4281</v>
      </c>
      <c r="M134">
        <f ca="1" t="shared" si="32"/>
        <v>0.0250550736684</v>
      </c>
    </row>
    <row r="135" spans="1:13">
      <c r="A135" t="str">
        <f ca="1">OFFSET($N$2,(ROW(135:135)-2)/35,0)</f>
        <v>山西省</v>
      </c>
      <c r="B135">
        <f ca="1">OFFSET($O$1,0,MOD(ROW(135:135)-2,35))</f>
        <v>2018</v>
      </c>
      <c r="C135">
        <f ca="1" t="shared" si="22"/>
        <v>0.33733056</v>
      </c>
      <c r="D135">
        <f ca="1" t="shared" si="23"/>
        <v>9</v>
      </c>
      <c r="E135">
        <f ca="1" t="shared" si="24"/>
        <v>1</v>
      </c>
      <c r="F135">
        <f ca="1" t="shared" si="25"/>
        <v>0.66684629536</v>
      </c>
      <c r="G135">
        <f ca="1" t="shared" si="26"/>
        <v>0.0814956899904</v>
      </c>
      <c r="H135">
        <f ca="1" t="shared" si="27"/>
        <v>0.828551321472</v>
      </c>
      <c r="I135">
        <f ca="1" t="shared" si="28"/>
        <v>1935</v>
      </c>
      <c r="J135">
        <f ca="1" t="shared" si="29"/>
        <v>254</v>
      </c>
      <c r="K135">
        <f ca="1" t="shared" si="30"/>
        <v>34738</v>
      </c>
      <c r="L135">
        <f ca="1" t="shared" si="31"/>
        <v>5819</v>
      </c>
      <c r="M135">
        <f ca="1" t="shared" si="32"/>
        <v>0.0253711133184</v>
      </c>
    </row>
    <row r="136" spans="1:13">
      <c r="A136" t="str">
        <f ca="1">OFFSET($N$2,(ROW(136:136)-2)/35,0)</f>
        <v>山西省</v>
      </c>
      <c r="B136">
        <f ca="1">OFFSET($O$1,0,MOD(ROW(136:136)-2,35))</f>
        <v>2019</v>
      </c>
      <c r="C136">
        <f ca="1" t="shared" si="22"/>
        <v>0.3438162</v>
      </c>
      <c r="D136">
        <f ca="1" t="shared" si="23"/>
        <v>9</v>
      </c>
      <c r="E136">
        <f ca="1" t="shared" si="24"/>
        <v>1</v>
      </c>
      <c r="F136">
        <f ca="1" t="shared" si="25"/>
        <v>0.68271582834</v>
      </c>
      <c r="G136">
        <f ca="1" t="shared" si="26"/>
        <v>0.079583135814</v>
      </c>
      <c r="H136">
        <f ca="1" t="shared" si="27"/>
        <v>0.77654326932</v>
      </c>
      <c r="I136">
        <f ca="1" t="shared" si="28"/>
        <v>1878</v>
      </c>
      <c r="J136">
        <f ca="1" t="shared" si="29"/>
        <v>184</v>
      </c>
      <c r="K136">
        <f ca="1" t="shared" si="30"/>
        <v>40229</v>
      </c>
      <c r="L136">
        <f ca="1" t="shared" si="31"/>
        <v>4338</v>
      </c>
      <c r="M136">
        <f ca="1" t="shared" si="32"/>
        <v>0.024832861794</v>
      </c>
    </row>
    <row r="137" spans="1:13">
      <c r="A137" t="str">
        <f ca="1">OFFSET($N$2,(ROW(137:137)-2)/35,0)</f>
        <v>山西省</v>
      </c>
      <c r="B137">
        <f ca="1">OFFSET($O$1,0,MOD(ROW(137:137)-2,35))</f>
        <v>2020</v>
      </c>
      <c r="C137">
        <f ca="1" t="shared" si="22"/>
        <v>0.3372432</v>
      </c>
      <c r="D137">
        <f ca="1" t="shared" si="23"/>
        <v>9</v>
      </c>
      <c r="E137">
        <f ca="1" t="shared" si="24"/>
        <v>1</v>
      </c>
      <c r="F137">
        <f ca="1" t="shared" si="25"/>
        <v>0.59046787744</v>
      </c>
      <c r="G137">
        <f ca="1" t="shared" si="26"/>
        <v>0.068000032632</v>
      </c>
      <c r="H137">
        <f ca="1" t="shared" si="27"/>
        <v>0.71691159456</v>
      </c>
      <c r="I137">
        <f ca="1" t="shared" si="28"/>
        <v>1733</v>
      </c>
      <c r="J137">
        <f ca="1" t="shared" si="29"/>
        <v>260</v>
      </c>
      <c r="K137">
        <f ca="1" t="shared" si="30"/>
        <v>37999</v>
      </c>
      <c r="L137">
        <f ca="1" t="shared" si="31"/>
        <v>4598</v>
      </c>
      <c r="M137">
        <f ca="1" t="shared" si="32"/>
        <v>0.027548433456</v>
      </c>
    </row>
    <row r="138" spans="1:13">
      <c r="A138" t="str">
        <f ca="1">OFFSET($N$2,(ROW(138:138)-2)/35,0)</f>
        <v>山西省</v>
      </c>
      <c r="B138">
        <f ca="1">OFFSET($O$1,0,MOD(ROW(138:138)-2,35))</f>
        <v>2021</v>
      </c>
      <c r="C138">
        <f ca="1" t="shared" si="22"/>
        <v>0.37715244</v>
      </c>
      <c r="D138">
        <f ca="1" t="shared" si="23"/>
        <v>9</v>
      </c>
      <c r="E138">
        <f ca="1" t="shared" si="24"/>
        <v>1</v>
      </c>
      <c r="F138">
        <f ca="1" t="shared" si="25"/>
        <v>0.650914824448</v>
      </c>
      <c r="G138">
        <f ca="1" t="shared" si="26"/>
        <v>0.0904468123986</v>
      </c>
      <c r="H138">
        <f ca="1" t="shared" si="27"/>
        <v>0.848328983292</v>
      </c>
      <c r="I138">
        <f ca="1" t="shared" si="28"/>
        <v>2204</v>
      </c>
      <c r="J138">
        <f ca="1" t="shared" si="29"/>
        <v>304</v>
      </c>
      <c r="K138">
        <f ca="1" t="shared" si="30"/>
        <v>24528</v>
      </c>
      <c r="L138">
        <f ca="1" t="shared" si="31"/>
        <v>4010</v>
      </c>
      <c r="M138">
        <f ca="1" t="shared" si="32"/>
        <v>0.0307012861944</v>
      </c>
    </row>
    <row r="139" spans="1:13">
      <c r="A139" t="str">
        <f ca="1">OFFSET($N$2,(ROW(139:139)-2)/35,0)</f>
        <v>山西省</v>
      </c>
      <c r="B139">
        <f ca="1">OFFSET($O$1,0,MOD(ROW(139:139)-2,35))</f>
        <v>2022</v>
      </c>
      <c r="C139">
        <f ca="1" t="shared" si="22"/>
        <v>0.37763712</v>
      </c>
      <c r="D139">
        <f ca="1" t="shared" si="23"/>
        <v>10</v>
      </c>
      <c r="E139">
        <f ca="1" t="shared" si="24"/>
        <v>1</v>
      </c>
      <c r="F139">
        <f ca="1" t="shared" si="25"/>
        <v>0.720229515264</v>
      </c>
      <c r="G139">
        <f ca="1" t="shared" si="26"/>
        <v>0.077925419712</v>
      </c>
      <c r="H139">
        <f ca="1" t="shared" si="27"/>
        <v>0.780254935488</v>
      </c>
      <c r="I139">
        <f ca="1" t="shared" si="28"/>
        <v>2001</v>
      </c>
      <c r="J139">
        <f ca="1" t="shared" si="29"/>
        <v>260</v>
      </c>
      <c r="K139">
        <f ca="1" t="shared" si="30"/>
        <v>42554</v>
      </c>
      <c r="L139">
        <f ca="1" t="shared" si="31"/>
        <v>4437</v>
      </c>
      <c r="M139">
        <f ca="1" t="shared" si="32"/>
        <v>0.0273279799296</v>
      </c>
    </row>
    <row r="140" spans="1:13">
      <c r="A140" t="str">
        <f ca="1">OFFSET($N$2,(ROW(140:140)-2)/35,0)</f>
        <v>山西省</v>
      </c>
      <c r="B140">
        <f ca="1">OFFSET($O$1,0,MOD(ROW(140:140)-2,35))</f>
        <v>2023</v>
      </c>
      <c r="C140">
        <f ca="1" t="shared" si="22"/>
        <v>0.39085452</v>
      </c>
      <c r="D140">
        <f ca="1" t="shared" si="23"/>
        <v>11</v>
      </c>
      <c r="E140">
        <f ca="1" t="shared" si="24"/>
        <v>1</v>
      </c>
      <c r="F140">
        <f ca="1" t="shared" si="25"/>
        <v>0.693753744516</v>
      </c>
      <c r="G140">
        <f ca="1" t="shared" si="26"/>
        <v>0.0867032581716</v>
      </c>
      <c r="H140">
        <f ca="1" t="shared" si="27"/>
        <v>0.808638916428</v>
      </c>
      <c r="I140">
        <f ca="1" t="shared" si="28"/>
        <v>1689</v>
      </c>
      <c r="J140">
        <f ca="1" t="shared" si="29"/>
        <v>236</v>
      </c>
      <c r="K140">
        <f ca="1" t="shared" si="30"/>
        <v>42916</v>
      </c>
      <c r="L140">
        <f ca="1" t="shared" si="31"/>
        <v>5678</v>
      </c>
      <c r="M140">
        <f ca="1" t="shared" si="32"/>
        <v>0.0320657048208</v>
      </c>
    </row>
    <row r="141" spans="1:13">
      <c r="A141" t="str">
        <f ca="1">OFFSET($N$2,(ROW(141:141)-2)/35,0)</f>
        <v>山西省</v>
      </c>
      <c r="B141">
        <f ca="1">OFFSET($O$1,0,MOD(ROW(141:141)-2,35))</f>
        <v>2024</v>
      </c>
      <c r="C141">
        <f ca="1" t="shared" si="22"/>
        <v>0.39920496</v>
      </c>
      <c r="D141">
        <f ca="1" t="shared" si="23"/>
        <v>11</v>
      </c>
      <c r="E141">
        <f ca="1" t="shared" si="24"/>
        <v>1</v>
      </c>
      <c r="F141">
        <f ca="1" t="shared" si="25"/>
        <v>0.684915949872</v>
      </c>
      <c r="G141">
        <f ca="1" t="shared" si="26"/>
        <v>0.0916434866424</v>
      </c>
      <c r="H141">
        <f ca="1" t="shared" si="27"/>
        <v>0.920546677512</v>
      </c>
      <c r="I141">
        <f ca="1" t="shared" si="28"/>
        <v>2229</v>
      </c>
      <c r="J141">
        <f ca="1" t="shared" si="29"/>
        <v>354</v>
      </c>
      <c r="K141">
        <f ca="1" t="shared" si="30"/>
        <v>33665</v>
      </c>
      <c r="L141">
        <f ca="1" t="shared" si="31"/>
        <v>4496</v>
      </c>
      <c r="M141">
        <f ca="1" t="shared" si="32"/>
        <v>0.032004831936</v>
      </c>
    </row>
    <row r="142" spans="1:13">
      <c r="A142" t="str">
        <f ca="1">OFFSET($N$2,(ROW(142:142)-2)/35,0)</f>
        <v>内蒙古自治区</v>
      </c>
      <c r="B142">
        <f ca="1">OFFSET($O$1,0,MOD(ROW(142:142)-2,35))</f>
        <v>1990</v>
      </c>
      <c r="C142">
        <f ca="1" t="shared" si="22"/>
        <v>0.0641508</v>
      </c>
      <c r="D142">
        <f ca="1" t="shared" si="23"/>
        <v>2</v>
      </c>
      <c r="E142">
        <f ca="1" t="shared" si="24"/>
        <v>0</v>
      </c>
      <c r="F142">
        <f ca="1" t="shared" si="25"/>
        <v>0.11853570988</v>
      </c>
      <c r="G142">
        <f ca="1" t="shared" si="26"/>
        <v>0.01365610155</v>
      </c>
      <c r="H142">
        <f ca="1" t="shared" si="27"/>
        <v>0.15482154072</v>
      </c>
      <c r="I142">
        <f ca="1" t="shared" si="28"/>
        <v>316</v>
      </c>
      <c r="J142">
        <f ca="1" t="shared" si="29"/>
        <v>7</v>
      </c>
      <c r="K142">
        <f ca="1" t="shared" si="30"/>
        <v>7224</v>
      </c>
      <c r="L142">
        <f ca="1" t="shared" si="31"/>
        <v>1007</v>
      </c>
      <c r="M142">
        <f ca="1" t="shared" si="32"/>
        <v>0.005257524636</v>
      </c>
    </row>
    <row r="143" spans="1:13">
      <c r="A143" t="str">
        <f ca="1">OFFSET($N$2,(ROW(143:143)-2)/35,0)</f>
        <v>内蒙古自治区</v>
      </c>
      <c r="B143">
        <f ca="1">OFFSET($O$1,0,MOD(ROW(143:143)-2,35))</f>
        <v>1991</v>
      </c>
      <c r="C143">
        <f ca="1" t="shared" si="22"/>
        <v>0.06838524</v>
      </c>
      <c r="D143">
        <f ca="1" t="shared" si="23"/>
        <v>2</v>
      </c>
      <c r="E143">
        <f ca="1" t="shared" si="24"/>
        <v>0</v>
      </c>
      <c r="F143">
        <f ca="1" t="shared" si="25"/>
        <v>0.122400461568</v>
      </c>
      <c r="G143">
        <f ca="1" t="shared" si="26"/>
        <v>0.0149322590802</v>
      </c>
      <c r="H143">
        <f ca="1" t="shared" si="27"/>
        <v>0.137006409078</v>
      </c>
      <c r="I143">
        <f ca="1" t="shared" si="28"/>
        <v>358</v>
      </c>
      <c r="J143">
        <f ca="1" t="shared" si="29"/>
        <v>9</v>
      </c>
      <c r="K143">
        <f ca="1" t="shared" si="30"/>
        <v>6268</v>
      </c>
      <c r="L143">
        <f ca="1" t="shared" si="31"/>
        <v>1289</v>
      </c>
      <c r="M143">
        <f ca="1" t="shared" si="32"/>
        <v>0.0056092504644</v>
      </c>
    </row>
    <row r="144" spans="1:13">
      <c r="A144" t="str">
        <f ca="1">OFFSET($N$2,(ROW(144:144)-2)/35,0)</f>
        <v>内蒙古自治区</v>
      </c>
      <c r="B144">
        <f ca="1">OFFSET($O$1,0,MOD(ROW(144:144)-2,35))</f>
        <v>1992</v>
      </c>
      <c r="C144">
        <f ca="1" t="shared" si="22"/>
        <v>0.07609392</v>
      </c>
      <c r="D144">
        <f ca="1" t="shared" si="23"/>
        <v>2</v>
      </c>
      <c r="E144">
        <f ca="1" t="shared" si="24"/>
        <v>0</v>
      </c>
      <c r="F144">
        <f ca="1" t="shared" si="25"/>
        <v>0.148669764432</v>
      </c>
      <c r="G144">
        <f ca="1" t="shared" si="26"/>
        <v>0.017385558372</v>
      </c>
      <c r="H144">
        <f ca="1" t="shared" si="27"/>
        <v>0.189694533168</v>
      </c>
      <c r="I144">
        <f ca="1" t="shared" si="28"/>
        <v>409</v>
      </c>
      <c r="J144">
        <f ca="1" t="shared" si="29"/>
        <v>9</v>
      </c>
      <c r="K144">
        <f ca="1" t="shared" si="30"/>
        <v>6841</v>
      </c>
      <c r="L144">
        <f ca="1" t="shared" si="31"/>
        <v>1454</v>
      </c>
      <c r="M144">
        <f ca="1" t="shared" si="32"/>
        <v>0.006274487232</v>
      </c>
    </row>
    <row r="145" spans="1:13">
      <c r="A145" t="str">
        <f ca="1">OFFSET($N$2,(ROW(145:145)-2)/35,0)</f>
        <v>内蒙古自治区</v>
      </c>
      <c r="B145">
        <f ca="1">OFFSET($O$1,0,MOD(ROW(145:145)-2,35))</f>
        <v>1993</v>
      </c>
      <c r="C145">
        <f ca="1" t="shared" si="22"/>
        <v>0.08354892</v>
      </c>
      <c r="D145">
        <f ca="1" t="shared" si="23"/>
        <v>2</v>
      </c>
      <c r="E145">
        <f ca="1" t="shared" si="24"/>
        <v>0</v>
      </c>
      <c r="F145">
        <f ca="1" t="shared" si="25"/>
        <v>0.144444942824</v>
      </c>
      <c r="G145">
        <f ca="1" t="shared" si="26"/>
        <v>0.0179575871202</v>
      </c>
      <c r="H145">
        <f ca="1" t="shared" si="27"/>
        <v>0.200049534048</v>
      </c>
      <c r="I145">
        <f ca="1" t="shared" si="28"/>
        <v>441</v>
      </c>
      <c r="J145">
        <f ca="1" t="shared" si="29"/>
        <v>15</v>
      </c>
      <c r="K145">
        <f ca="1" t="shared" si="30"/>
        <v>9611</v>
      </c>
      <c r="L145">
        <f ca="1" t="shared" si="31"/>
        <v>1007</v>
      </c>
      <c r="M145">
        <f ca="1" t="shared" si="32"/>
        <v>0.0064292087496</v>
      </c>
    </row>
    <row r="146" spans="1:13">
      <c r="A146" t="str">
        <f ca="1">OFFSET($N$2,(ROW(146:146)-2)/35,0)</f>
        <v>内蒙古自治区</v>
      </c>
      <c r="B146">
        <f ca="1">OFFSET($O$1,0,MOD(ROW(146:146)-2,35))</f>
        <v>1994</v>
      </c>
      <c r="C146">
        <f ca="1" t="shared" si="22"/>
        <v>0.09275112</v>
      </c>
      <c r="D146">
        <f ca="1" t="shared" si="23"/>
        <v>2</v>
      </c>
      <c r="E146">
        <f ca="1" t="shared" si="24"/>
        <v>0</v>
      </c>
      <c r="F146">
        <f ca="1" t="shared" si="25"/>
        <v>0.171060890616</v>
      </c>
      <c r="G146">
        <f ca="1" t="shared" si="26"/>
        <v>0.0191030206752</v>
      </c>
      <c r="H146">
        <f ca="1" t="shared" si="27"/>
        <v>0.19364115078</v>
      </c>
      <c r="I146">
        <f ca="1" t="shared" si="28"/>
        <v>376</v>
      </c>
      <c r="J146">
        <f ca="1" t="shared" si="29"/>
        <v>19</v>
      </c>
      <c r="K146">
        <f ca="1" t="shared" si="30"/>
        <v>5602</v>
      </c>
      <c r="L146">
        <f ca="1" t="shared" si="31"/>
        <v>1022</v>
      </c>
      <c r="M146">
        <f ca="1" t="shared" si="32"/>
        <v>0.0072547276032</v>
      </c>
    </row>
    <row r="147" spans="1:13">
      <c r="A147" t="str">
        <f ca="1">OFFSET($N$2,(ROW(147:147)-2)/35,0)</f>
        <v>内蒙古自治区</v>
      </c>
      <c r="B147">
        <f ca="1">OFFSET($O$1,0,MOD(ROW(147:147)-2,35))</f>
        <v>1995</v>
      </c>
      <c r="C147">
        <f ca="1" t="shared" si="22"/>
        <v>0.093618</v>
      </c>
      <c r="D147">
        <f ca="1" t="shared" si="23"/>
        <v>2</v>
      </c>
      <c r="E147">
        <f ca="1" t="shared" si="24"/>
        <v>0</v>
      </c>
      <c r="F147">
        <f ca="1" t="shared" si="25"/>
        <v>0.1669739442</v>
      </c>
      <c r="G147">
        <f ca="1" t="shared" si="26"/>
        <v>0.02073498273</v>
      </c>
      <c r="H147">
        <f ca="1" t="shared" si="27"/>
        <v>0.2203580484</v>
      </c>
      <c r="I147">
        <f ca="1" t="shared" si="28"/>
        <v>452</v>
      </c>
      <c r="J147">
        <f ca="1" t="shared" si="29"/>
        <v>17</v>
      </c>
      <c r="K147">
        <f ca="1" t="shared" si="30"/>
        <v>6564</v>
      </c>
      <c r="L147">
        <f ca="1" t="shared" si="31"/>
        <v>1755</v>
      </c>
      <c r="M147">
        <f ca="1" t="shared" si="32"/>
        <v>0.00720096282</v>
      </c>
    </row>
    <row r="148" spans="1:13">
      <c r="A148" t="str">
        <f ca="1">OFFSET($N$2,(ROW(148:148)-2)/35,0)</f>
        <v>内蒙古自治区</v>
      </c>
      <c r="B148">
        <f ca="1">OFFSET($O$1,0,MOD(ROW(148:148)-2,35))</f>
        <v>1996</v>
      </c>
      <c r="C148">
        <f ca="1" t="shared" si="22"/>
        <v>0.10297728</v>
      </c>
      <c r="D148">
        <f ca="1" t="shared" si="23"/>
        <v>2</v>
      </c>
      <c r="E148">
        <f ca="1" t="shared" si="24"/>
        <v>0</v>
      </c>
      <c r="F148">
        <f ca="1" t="shared" si="25"/>
        <v>0.201540267264</v>
      </c>
      <c r="G148">
        <f ca="1" t="shared" si="26"/>
        <v>0.0241497168192</v>
      </c>
      <c r="H148">
        <f ca="1" t="shared" si="27"/>
        <v>0.211226996736</v>
      </c>
      <c r="I148">
        <f ca="1" t="shared" si="28"/>
        <v>413</v>
      </c>
      <c r="J148">
        <f ca="1" t="shared" si="29"/>
        <v>13</v>
      </c>
      <c r="K148">
        <f ca="1" t="shared" si="30"/>
        <v>8045</v>
      </c>
      <c r="L148">
        <f ca="1" t="shared" si="31"/>
        <v>1353</v>
      </c>
      <c r="M148">
        <f ca="1" t="shared" si="32"/>
        <v>0.0087948481536</v>
      </c>
    </row>
    <row r="149" spans="1:13">
      <c r="A149" t="str">
        <f ca="1">OFFSET($N$2,(ROW(149:149)-2)/35,0)</f>
        <v>内蒙古自治区</v>
      </c>
      <c r="B149">
        <f ca="1">OFFSET($O$1,0,MOD(ROW(149:149)-2,35))</f>
        <v>1997</v>
      </c>
      <c r="C149">
        <f ca="1" t="shared" si="22"/>
        <v>0.10447248</v>
      </c>
      <c r="D149">
        <f ca="1" t="shared" si="23"/>
        <v>2</v>
      </c>
      <c r="E149">
        <f ca="1" t="shared" si="24"/>
        <v>0</v>
      </c>
      <c r="F149">
        <f ca="1" t="shared" si="25"/>
        <v>0.204867050864</v>
      </c>
      <c r="G149">
        <f ca="1" t="shared" si="26"/>
        <v>0.0211838847696</v>
      </c>
      <c r="H149">
        <f ca="1" t="shared" si="27"/>
        <v>0.213578314488</v>
      </c>
      <c r="I149">
        <f ca="1" t="shared" si="28"/>
        <v>456</v>
      </c>
      <c r="J149">
        <f ca="1" t="shared" si="29"/>
        <v>13</v>
      </c>
      <c r="K149">
        <f ca="1" t="shared" si="30"/>
        <v>10237</v>
      </c>
      <c r="L149">
        <f ca="1" t="shared" si="31"/>
        <v>1735</v>
      </c>
      <c r="M149">
        <f ca="1" t="shared" si="32"/>
        <v>0.0075803739024</v>
      </c>
    </row>
    <row r="150" spans="1:13">
      <c r="A150" t="str">
        <f ca="1">OFFSET($N$2,(ROW(150:150)-2)/35,0)</f>
        <v>内蒙古自治区</v>
      </c>
      <c r="B150">
        <f ca="1">OFFSET($O$1,0,MOD(ROW(150:150)-2,35))</f>
        <v>1998</v>
      </c>
      <c r="C150">
        <f ca="1" t="shared" si="22"/>
        <v>0.12002256</v>
      </c>
      <c r="D150">
        <f ca="1" t="shared" si="23"/>
        <v>3</v>
      </c>
      <c r="E150">
        <f ca="1" t="shared" si="24"/>
        <v>0</v>
      </c>
      <c r="F150">
        <f ca="1" t="shared" si="25"/>
        <v>0.215244458352</v>
      </c>
      <c r="G150">
        <f ca="1" t="shared" si="26"/>
        <v>0.0252119389536</v>
      </c>
      <c r="H150">
        <f ca="1" t="shared" si="27"/>
        <v>0.282617122032</v>
      </c>
      <c r="I150">
        <f ca="1" t="shared" si="28"/>
        <v>621</v>
      </c>
      <c r="J150">
        <f ca="1" t="shared" si="29"/>
        <v>18</v>
      </c>
      <c r="K150">
        <f ca="1" t="shared" si="30"/>
        <v>13502</v>
      </c>
      <c r="L150">
        <f ca="1" t="shared" si="31"/>
        <v>2364</v>
      </c>
      <c r="M150">
        <f ca="1" t="shared" si="32"/>
        <v>0.0101417348592</v>
      </c>
    </row>
    <row r="151" spans="1:13">
      <c r="A151" t="str">
        <f ca="1">OFFSET($N$2,(ROW(151:151)-2)/35,0)</f>
        <v>内蒙古自治区</v>
      </c>
      <c r="B151">
        <f ca="1">OFFSET($O$1,0,MOD(ROW(151:151)-2,35))</f>
        <v>1999</v>
      </c>
      <c r="C151">
        <f ca="1" t="shared" si="22"/>
        <v>0.12005112</v>
      </c>
      <c r="D151">
        <f ca="1" t="shared" si="23"/>
        <v>3</v>
      </c>
      <c r="E151">
        <f ca="1" t="shared" si="24"/>
        <v>0</v>
      </c>
      <c r="F151">
        <f ca="1" t="shared" si="25"/>
        <v>0.200313297128</v>
      </c>
      <c r="G151">
        <f ca="1" t="shared" si="26"/>
        <v>0.0285433542912</v>
      </c>
      <c r="H151">
        <f ca="1" t="shared" si="27"/>
        <v>0.291868282944</v>
      </c>
      <c r="I151">
        <f ca="1" t="shared" si="28"/>
        <v>538</v>
      </c>
      <c r="J151">
        <f ca="1" t="shared" si="29"/>
        <v>19</v>
      </c>
      <c r="K151">
        <f ca="1" t="shared" si="30"/>
        <v>10269</v>
      </c>
      <c r="L151">
        <f ca="1" t="shared" si="31"/>
        <v>2111</v>
      </c>
      <c r="M151">
        <f ca="1" t="shared" si="32"/>
        <v>0.0097870818072</v>
      </c>
    </row>
    <row r="152" spans="1:13">
      <c r="A152" t="str">
        <f ca="1">OFFSET($N$2,(ROW(152:152)-2)/35,0)</f>
        <v>内蒙古自治区</v>
      </c>
      <c r="B152">
        <f ca="1">OFFSET($O$1,0,MOD(ROW(152:152)-2,35))</f>
        <v>2000</v>
      </c>
      <c r="C152">
        <f ca="1" t="shared" si="22"/>
        <v>0.1299816</v>
      </c>
      <c r="D152">
        <f ca="1" t="shared" si="23"/>
        <v>3</v>
      </c>
      <c r="E152">
        <f ca="1" t="shared" si="24"/>
        <v>0</v>
      </c>
      <c r="F152">
        <f ca="1" t="shared" si="25"/>
        <v>0.24745030464</v>
      </c>
      <c r="G152">
        <f ca="1" t="shared" si="26"/>
        <v>0.028000636272</v>
      </c>
      <c r="H152">
        <f ca="1" t="shared" si="27"/>
        <v>0.2600606862</v>
      </c>
      <c r="I152">
        <f ca="1" t="shared" si="28"/>
        <v>688</v>
      </c>
      <c r="J152">
        <f ca="1" t="shared" si="29"/>
        <v>21</v>
      </c>
      <c r="K152">
        <f ca="1" t="shared" si="30"/>
        <v>9151</v>
      </c>
      <c r="L152">
        <f ca="1" t="shared" si="31"/>
        <v>2139</v>
      </c>
      <c r="M152">
        <f ca="1" t="shared" si="32"/>
        <v>0.009741006792</v>
      </c>
    </row>
    <row r="153" spans="1:13">
      <c r="A153" t="str">
        <f ca="1">OFFSET($N$2,(ROW(153:153)-2)/35,0)</f>
        <v>内蒙古自治区</v>
      </c>
      <c r="B153">
        <f ca="1">OFFSET($O$1,0,MOD(ROW(153:153)-2,35))</f>
        <v>2001</v>
      </c>
      <c r="C153">
        <f ca="1" t="shared" si="22"/>
        <v>0.13094172</v>
      </c>
      <c r="D153">
        <f ca="1" t="shared" si="23"/>
        <v>3</v>
      </c>
      <c r="E153">
        <f ca="1" t="shared" si="24"/>
        <v>0</v>
      </c>
      <c r="F153">
        <f ca="1" t="shared" si="25"/>
        <v>0.236520028836</v>
      </c>
      <c r="G153">
        <f ca="1" t="shared" si="26"/>
        <v>0.0300537435744</v>
      </c>
      <c r="H153">
        <f ca="1" t="shared" si="27"/>
        <v>0.270008373726</v>
      </c>
      <c r="I153">
        <f ca="1" t="shared" si="28"/>
        <v>777</v>
      </c>
      <c r="J153">
        <f ca="1" t="shared" si="29"/>
        <v>18</v>
      </c>
      <c r="K153">
        <f ca="1" t="shared" si="30"/>
        <v>7976</v>
      </c>
      <c r="L153">
        <f ca="1" t="shared" si="31"/>
        <v>1800</v>
      </c>
      <c r="M153">
        <f ca="1" t="shared" si="32"/>
        <v>0.0105443625924</v>
      </c>
    </row>
    <row r="154" spans="1:13">
      <c r="A154" t="str">
        <f ca="1">OFFSET($N$2,(ROW(154:154)-2)/35,0)</f>
        <v>内蒙古自治区</v>
      </c>
      <c r="B154">
        <f ca="1">OFFSET($O$1,0,MOD(ROW(154:154)-2,35))</f>
        <v>2002</v>
      </c>
      <c r="C154">
        <f ca="1" t="shared" si="22"/>
        <v>0.14565936</v>
      </c>
      <c r="D154">
        <f ca="1" t="shared" si="23"/>
        <v>3</v>
      </c>
      <c r="E154">
        <f ca="1" t="shared" si="24"/>
        <v>0</v>
      </c>
      <c r="F154">
        <f ca="1" t="shared" si="25"/>
        <v>0.25167509752</v>
      </c>
      <c r="G154">
        <f ca="1" t="shared" si="26"/>
        <v>0.036236407284</v>
      </c>
      <c r="H154">
        <f ca="1" t="shared" si="27"/>
        <v>0.339306196152</v>
      </c>
      <c r="I154">
        <f ca="1" t="shared" si="28"/>
        <v>610</v>
      </c>
      <c r="J154">
        <f ca="1" t="shared" si="29"/>
        <v>19</v>
      </c>
      <c r="K154">
        <f ca="1" t="shared" si="30"/>
        <v>11396</v>
      </c>
      <c r="L154">
        <f ca="1" t="shared" si="31"/>
        <v>2255</v>
      </c>
      <c r="M154">
        <f ca="1" t="shared" si="32"/>
        <v>0.0121717122912</v>
      </c>
    </row>
    <row r="155" spans="1:13">
      <c r="A155" t="str">
        <f ca="1">OFFSET($N$2,(ROW(155:155)-2)/35,0)</f>
        <v>内蒙古自治区</v>
      </c>
      <c r="B155">
        <f ca="1">OFFSET($O$1,0,MOD(ROW(155:155)-2,35))</f>
        <v>2003</v>
      </c>
      <c r="C155">
        <f ca="1" t="shared" si="22"/>
        <v>0.15114036</v>
      </c>
      <c r="D155">
        <f ca="1" t="shared" si="23"/>
        <v>4</v>
      </c>
      <c r="E155">
        <f ca="1" t="shared" si="24"/>
        <v>0</v>
      </c>
      <c r="F155">
        <f ca="1" t="shared" si="25"/>
        <v>0.292980549848</v>
      </c>
      <c r="G155">
        <f ca="1" t="shared" si="26"/>
        <v>0.0327165980274</v>
      </c>
      <c r="H155">
        <f ca="1" t="shared" si="27"/>
        <v>0.347834424504</v>
      </c>
      <c r="I155">
        <f ca="1" t="shared" si="28"/>
        <v>658</v>
      </c>
      <c r="J155">
        <f ca="1" t="shared" si="29"/>
        <v>22</v>
      </c>
      <c r="K155">
        <f ca="1" t="shared" si="30"/>
        <v>15366</v>
      </c>
      <c r="L155">
        <f ca="1" t="shared" si="31"/>
        <v>2468</v>
      </c>
      <c r="M155">
        <f ca="1" t="shared" si="32"/>
        <v>0.0111727272408</v>
      </c>
    </row>
    <row r="156" spans="1:13">
      <c r="A156" t="str">
        <f ca="1">OFFSET($N$2,(ROW(156:156)-2)/35,0)</f>
        <v>内蒙古自治区</v>
      </c>
      <c r="B156">
        <f ca="1">OFFSET($O$1,0,MOD(ROW(156:156)-2,35))</f>
        <v>2004</v>
      </c>
      <c r="C156">
        <f ca="1" t="shared" si="22"/>
        <v>0.14831712</v>
      </c>
      <c r="D156">
        <f ca="1" t="shared" si="23"/>
        <v>4</v>
      </c>
      <c r="E156">
        <f ca="1" t="shared" si="24"/>
        <v>0</v>
      </c>
      <c r="F156">
        <f ca="1" t="shared" si="25"/>
        <v>0.296352437472</v>
      </c>
      <c r="G156">
        <f ca="1" t="shared" si="26"/>
        <v>0.0337080318624</v>
      </c>
      <c r="H156">
        <f ca="1" t="shared" si="27"/>
        <v>0.302685578496</v>
      </c>
      <c r="I156">
        <f ca="1" t="shared" si="28"/>
        <v>848</v>
      </c>
      <c r="J156">
        <f ca="1" t="shared" si="29"/>
        <v>21</v>
      </c>
      <c r="K156">
        <f ca="1" t="shared" si="30"/>
        <v>16352</v>
      </c>
      <c r="L156">
        <f ca="1" t="shared" si="31"/>
        <v>2644</v>
      </c>
      <c r="M156">
        <f ca="1" t="shared" si="32"/>
        <v>0.0118140942528</v>
      </c>
    </row>
    <row r="157" spans="1:13">
      <c r="A157" t="str">
        <f ca="1">OFFSET($N$2,(ROW(157:157)-2)/35,0)</f>
        <v>内蒙古自治区</v>
      </c>
      <c r="B157">
        <f ca="1">OFFSET($O$1,0,MOD(ROW(157:157)-2,35))</f>
        <v>2005</v>
      </c>
      <c r="C157">
        <f ca="1" t="shared" si="22"/>
        <v>0.16443</v>
      </c>
      <c r="D157">
        <f ca="1" t="shared" si="23"/>
        <v>4</v>
      </c>
      <c r="E157">
        <f ca="1" t="shared" si="24"/>
        <v>0</v>
      </c>
      <c r="F157">
        <f ca="1" t="shared" si="25"/>
        <v>0.298725462</v>
      </c>
      <c r="G157">
        <f ca="1" t="shared" si="26"/>
        <v>0.0370049715</v>
      </c>
      <c r="H157">
        <f ca="1" t="shared" si="27"/>
        <v>0.36191043</v>
      </c>
      <c r="I157">
        <f ca="1" t="shared" si="28"/>
        <v>943</v>
      </c>
      <c r="J157">
        <f ca="1" t="shared" si="29"/>
        <v>29</v>
      </c>
      <c r="K157">
        <f ca="1" t="shared" si="30"/>
        <v>14642</v>
      </c>
      <c r="L157">
        <f ca="1" t="shared" si="31"/>
        <v>3101</v>
      </c>
      <c r="M157">
        <f ca="1" t="shared" si="32"/>
        <v>0.0129239631</v>
      </c>
    </row>
    <row r="158" spans="1:13">
      <c r="A158" t="str">
        <f ca="1">OFFSET($N$2,(ROW(158:158)-2)/35,0)</f>
        <v>内蒙古自治区</v>
      </c>
      <c r="B158">
        <f ca="1">OFFSET($O$1,0,MOD(ROW(158:158)-2,35))</f>
        <v>2006</v>
      </c>
      <c r="C158">
        <f ca="1" t="shared" si="22"/>
        <v>0.15980328</v>
      </c>
      <c r="D158">
        <f ca="1" t="shared" si="23"/>
        <v>4</v>
      </c>
      <c r="E158">
        <f ca="1" t="shared" si="24"/>
        <v>0</v>
      </c>
      <c r="F158">
        <f ca="1" t="shared" si="25"/>
        <v>0.290080240632</v>
      </c>
      <c r="G158">
        <f ca="1" t="shared" si="26"/>
        <v>0.0355794012756</v>
      </c>
      <c r="H158">
        <f ca="1" t="shared" si="27"/>
        <v>0.34533488808</v>
      </c>
      <c r="I158">
        <f ca="1" t="shared" si="28"/>
        <v>911</v>
      </c>
      <c r="J158">
        <f ca="1" t="shared" si="29"/>
        <v>28</v>
      </c>
      <c r="K158">
        <f ca="1" t="shared" si="30"/>
        <v>11265</v>
      </c>
      <c r="L158">
        <f ca="1" t="shared" si="31"/>
        <v>3140</v>
      </c>
      <c r="M158">
        <f ca="1" t="shared" si="32"/>
        <v>0.0122199285312</v>
      </c>
    </row>
    <row r="159" spans="1:13">
      <c r="A159" t="str">
        <f ca="1">OFFSET($N$2,(ROW(159:159)-2)/35,0)</f>
        <v>内蒙古自治区</v>
      </c>
      <c r="B159">
        <f ca="1">OFFSET($O$1,0,MOD(ROW(159:159)-2,35))</f>
        <v>2007</v>
      </c>
      <c r="C159">
        <f ca="1" t="shared" si="22"/>
        <v>0.16188984</v>
      </c>
      <c r="D159">
        <f ca="1" t="shared" si="23"/>
        <v>4</v>
      </c>
      <c r="E159">
        <f ca="1" t="shared" si="24"/>
        <v>1</v>
      </c>
      <c r="F159">
        <f ca="1" t="shared" si="25"/>
        <v>0.299949495552</v>
      </c>
      <c r="G159">
        <f ca="1" t="shared" si="26"/>
        <v>0.0338973041484</v>
      </c>
      <c r="H159">
        <f ca="1" t="shared" si="27"/>
        <v>0.376620523776</v>
      </c>
      <c r="I159">
        <f ca="1" t="shared" si="28"/>
        <v>757</v>
      </c>
      <c r="J159">
        <f ca="1" t="shared" si="29"/>
        <v>23</v>
      </c>
      <c r="K159">
        <f ca="1" t="shared" si="30"/>
        <v>12301</v>
      </c>
      <c r="L159">
        <f ca="1" t="shared" si="31"/>
        <v>2639</v>
      </c>
      <c r="M159">
        <f ca="1" t="shared" si="32"/>
        <v>0.0120441415536</v>
      </c>
    </row>
    <row r="160" spans="1:13">
      <c r="A160" t="str">
        <f ca="1">OFFSET($N$2,(ROW(160:160)-2)/35,0)</f>
        <v>内蒙古自治区</v>
      </c>
      <c r="B160">
        <f ca="1">OFFSET($O$1,0,MOD(ROW(160:160)-2,35))</f>
        <v>2008</v>
      </c>
      <c r="C160">
        <f ca="1" t="shared" si="22"/>
        <v>0.17214288</v>
      </c>
      <c r="D160">
        <f ca="1" t="shared" si="23"/>
        <v>5</v>
      </c>
      <c r="E160">
        <f ca="1" t="shared" si="24"/>
        <v>1</v>
      </c>
      <c r="F160">
        <f ca="1" t="shared" si="25"/>
        <v>0.339081306928</v>
      </c>
      <c r="G160">
        <f ca="1" t="shared" si="26"/>
        <v>0.0370528942056</v>
      </c>
      <c r="H160">
        <f ca="1" t="shared" si="27"/>
        <v>0.345094831536</v>
      </c>
      <c r="I160">
        <f ca="1" t="shared" si="28"/>
        <v>943</v>
      </c>
      <c r="J160">
        <f ca="1" t="shared" si="29"/>
        <v>27</v>
      </c>
      <c r="K160">
        <f ca="1" t="shared" si="30"/>
        <v>15079</v>
      </c>
      <c r="L160">
        <f ca="1" t="shared" si="31"/>
        <v>3311</v>
      </c>
      <c r="M160">
        <f ca="1" t="shared" si="32"/>
        <v>0.0124095343008</v>
      </c>
    </row>
    <row r="161" spans="1:13">
      <c r="A161" t="str">
        <f ca="1">OFFSET($N$2,(ROW(161:161)-2)/35,0)</f>
        <v>内蒙古自治区</v>
      </c>
      <c r="B161">
        <f ca="1">OFFSET($O$1,0,MOD(ROW(161:161)-2,35))</f>
        <v>2009</v>
      </c>
      <c r="C161">
        <f ca="1" t="shared" si="22"/>
        <v>0.19200552</v>
      </c>
      <c r="D161">
        <f ca="1" t="shared" si="23"/>
        <v>5</v>
      </c>
      <c r="E161">
        <f ca="1" t="shared" si="24"/>
        <v>1</v>
      </c>
      <c r="F161">
        <f ca="1" t="shared" si="25"/>
        <v>0.323458899176</v>
      </c>
      <c r="G161">
        <f ca="1" t="shared" si="26"/>
        <v>0.0390289620504</v>
      </c>
      <c r="H161">
        <f ca="1" t="shared" si="27"/>
        <v>0.478400953632</v>
      </c>
      <c r="I161">
        <f ca="1" t="shared" si="28"/>
        <v>1094</v>
      </c>
      <c r="J161">
        <f ca="1" t="shared" si="29"/>
        <v>21</v>
      </c>
      <c r="K161">
        <f ca="1" t="shared" si="30"/>
        <v>19066</v>
      </c>
      <c r="L161">
        <f ca="1" t="shared" si="31"/>
        <v>2049</v>
      </c>
      <c r="M161">
        <f ca="1" t="shared" si="32"/>
        <v>0.0138841934448</v>
      </c>
    </row>
    <row r="162" spans="1:13">
      <c r="A162" t="str">
        <f ca="1">OFFSET($N$2,(ROW(162:162)-2)/35,0)</f>
        <v>内蒙古自治区</v>
      </c>
      <c r="B162">
        <f ca="1">OFFSET($O$1,0,MOD(ROW(162:162)-2,35))</f>
        <v>2010</v>
      </c>
      <c r="C162">
        <f ca="1" t="shared" si="22"/>
        <v>0.1802808</v>
      </c>
      <c r="D162">
        <f ca="1" t="shared" si="23"/>
        <v>5</v>
      </c>
      <c r="E162">
        <f ca="1" t="shared" si="24"/>
        <v>1</v>
      </c>
      <c r="F162">
        <f ca="1" t="shared" si="25"/>
        <v>0.346589838</v>
      </c>
      <c r="G162">
        <f ca="1" t="shared" si="26"/>
        <v>0.044032683996</v>
      </c>
      <c r="H162">
        <f ca="1" t="shared" si="27"/>
        <v>0.44009247492</v>
      </c>
      <c r="I162">
        <f ca="1" t="shared" si="28"/>
        <v>813</v>
      </c>
      <c r="J162">
        <f ca="1" t="shared" si="29"/>
        <v>21</v>
      </c>
      <c r="K162">
        <f ca="1" t="shared" si="30"/>
        <v>17198</v>
      </c>
      <c r="L162">
        <f ca="1" t="shared" si="31"/>
        <v>3259</v>
      </c>
      <c r="M162">
        <f ca="1" t="shared" si="32"/>
        <v>0.01354423896</v>
      </c>
    </row>
    <row r="163" spans="1:13">
      <c r="A163" t="str">
        <f ca="1">OFFSET($N$2,(ROW(163:163)-2)/35,0)</f>
        <v>内蒙古自治区</v>
      </c>
      <c r="B163">
        <f ca="1">OFFSET($O$1,0,MOD(ROW(163:163)-2,35))</f>
        <v>2011</v>
      </c>
      <c r="C163">
        <f ca="1" t="shared" si="22"/>
        <v>0.19196688</v>
      </c>
      <c r="D163">
        <f ca="1" t="shared" si="23"/>
        <v>5</v>
      </c>
      <c r="E163">
        <f ca="1" t="shared" si="24"/>
        <v>1</v>
      </c>
      <c r="F163">
        <f ca="1" t="shared" si="25"/>
        <v>0.342289744832</v>
      </c>
      <c r="G163">
        <f ca="1" t="shared" si="26"/>
        <v>0.041613620412</v>
      </c>
      <c r="H163">
        <f ca="1" t="shared" si="27"/>
        <v>0.465932412792</v>
      </c>
      <c r="I163">
        <f ca="1" t="shared" si="28"/>
        <v>1145</v>
      </c>
      <c r="J163">
        <f ca="1" t="shared" si="29"/>
        <v>25</v>
      </c>
      <c r="K163">
        <f ca="1" t="shared" si="30"/>
        <v>15734</v>
      </c>
      <c r="L163">
        <f ca="1" t="shared" si="31"/>
        <v>3644</v>
      </c>
      <c r="M163">
        <f ca="1" t="shared" si="32"/>
        <v>0.013788706752</v>
      </c>
    </row>
    <row r="164" spans="1:13">
      <c r="A164" t="str">
        <f ca="1">OFFSET($N$2,(ROW(164:164)-2)/35,0)</f>
        <v>内蒙古自治区</v>
      </c>
      <c r="B164">
        <f ca="1">OFFSET($O$1,0,MOD(ROW(164:164)-2,35))</f>
        <v>2012</v>
      </c>
      <c r="C164">
        <f ca="1" t="shared" si="22"/>
        <v>0.19278336</v>
      </c>
      <c r="D164">
        <f ca="1" t="shared" si="23"/>
        <v>5</v>
      </c>
      <c r="E164">
        <f ca="1" t="shared" si="24"/>
        <v>1</v>
      </c>
      <c r="F164">
        <f ca="1" t="shared" si="25"/>
        <v>0.33065559296</v>
      </c>
      <c r="G164">
        <f ca="1" t="shared" si="26"/>
        <v>0.0449657548032</v>
      </c>
      <c r="H164">
        <f ca="1" t="shared" si="27"/>
        <v>0.454448214528</v>
      </c>
      <c r="I164">
        <f ca="1" t="shared" si="28"/>
        <v>869</v>
      </c>
      <c r="J164">
        <f ca="1" t="shared" si="29"/>
        <v>32</v>
      </c>
      <c r="K164">
        <f ca="1" t="shared" si="30"/>
        <v>15518</v>
      </c>
      <c r="L164">
        <f ca="1" t="shared" si="31"/>
        <v>3095</v>
      </c>
      <c r="M164">
        <f ca="1" t="shared" si="32"/>
        <v>0.0141299186688</v>
      </c>
    </row>
    <row r="165" spans="1:13">
      <c r="A165" t="str">
        <f ca="1">OFFSET($N$2,(ROW(165:165)-2)/35,0)</f>
        <v>内蒙古自治区</v>
      </c>
      <c r="B165">
        <f ca="1">OFFSET($O$1,0,MOD(ROW(165:165)-2,35))</f>
        <v>2013</v>
      </c>
      <c r="C165">
        <f ca="1" t="shared" si="22"/>
        <v>0.19853064</v>
      </c>
      <c r="D165">
        <f ca="1" t="shared" si="23"/>
        <v>5</v>
      </c>
      <c r="E165">
        <f ca="1" t="shared" si="24"/>
        <v>1</v>
      </c>
      <c r="F165">
        <f ca="1" t="shared" si="25"/>
        <v>0.394903913712</v>
      </c>
      <c r="G165">
        <f ca="1" t="shared" si="26"/>
        <v>0.0478041928056</v>
      </c>
      <c r="H165">
        <f ca="1" t="shared" si="27"/>
        <v>0.466666122384</v>
      </c>
      <c r="I165">
        <f ca="1" t="shared" si="28"/>
        <v>1115</v>
      </c>
      <c r="J165">
        <f ca="1" t="shared" si="29"/>
        <v>23</v>
      </c>
      <c r="K165">
        <f ca="1" t="shared" si="30"/>
        <v>23372</v>
      </c>
      <c r="L165">
        <f ca="1" t="shared" si="31"/>
        <v>3419</v>
      </c>
      <c r="M165">
        <f ca="1" t="shared" si="32"/>
        <v>0.0167310278784</v>
      </c>
    </row>
    <row r="166" spans="1:13">
      <c r="A166" t="str">
        <f ca="1">OFFSET($N$2,(ROW(166:166)-2)/35,0)</f>
        <v>内蒙古自治区</v>
      </c>
      <c r="B166">
        <f ca="1">OFFSET($O$1,0,MOD(ROW(166:166)-2,35))</f>
        <v>2014</v>
      </c>
      <c r="C166">
        <f ca="1" t="shared" si="22"/>
        <v>0.20674584</v>
      </c>
      <c r="D166">
        <f ca="1" t="shared" si="23"/>
        <v>5</v>
      </c>
      <c r="E166">
        <f ca="1" t="shared" si="24"/>
        <v>1</v>
      </c>
      <c r="F166">
        <f ca="1" t="shared" si="25"/>
        <v>0.409715122656</v>
      </c>
      <c r="G166">
        <f ca="1" t="shared" si="26"/>
        <v>0.045597795012</v>
      </c>
      <c r="H166">
        <f ca="1" t="shared" si="27"/>
        <v>0.472228173144</v>
      </c>
      <c r="I166">
        <f ca="1" t="shared" si="28"/>
        <v>957</v>
      </c>
      <c r="J166">
        <f ca="1" t="shared" si="29"/>
        <v>34</v>
      </c>
      <c r="K166">
        <f ca="1" t="shared" si="30"/>
        <v>15095</v>
      </c>
      <c r="L166">
        <f ca="1" t="shared" si="31"/>
        <v>3821</v>
      </c>
      <c r="M166">
        <f ca="1" t="shared" si="32"/>
        <v>0.0170975856168</v>
      </c>
    </row>
    <row r="167" spans="1:13">
      <c r="A167" t="str">
        <f ca="1">OFFSET($N$2,(ROW(167:167)-2)/35,0)</f>
        <v>内蒙古自治区</v>
      </c>
      <c r="B167">
        <f ca="1">OFFSET($O$1,0,MOD(ROW(167:167)-2,35))</f>
        <v>2015</v>
      </c>
      <c r="C167">
        <f ca="1" t="shared" si="22"/>
        <v>0.2071818</v>
      </c>
      <c r="D167">
        <f ca="1" t="shared" si="23"/>
        <v>5</v>
      </c>
      <c r="E167">
        <f ca="1" t="shared" si="24"/>
        <v>1</v>
      </c>
      <c r="F167">
        <f ca="1" t="shared" si="25"/>
        <v>0.36671869206</v>
      </c>
      <c r="G167">
        <f ca="1" t="shared" si="26"/>
        <v>0.042647337621</v>
      </c>
      <c r="H167">
        <f ca="1" t="shared" si="27"/>
        <v>0.47317215393</v>
      </c>
      <c r="I167">
        <f ca="1" t="shared" si="28"/>
        <v>1199</v>
      </c>
      <c r="J167">
        <f ca="1" t="shared" si="29"/>
        <v>49</v>
      </c>
      <c r="K167">
        <f ca="1" t="shared" si="30"/>
        <v>18297</v>
      </c>
      <c r="L167">
        <f ca="1" t="shared" si="31"/>
        <v>3592</v>
      </c>
      <c r="M167">
        <f ca="1" t="shared" si="32"/>
        <v>0.01719756927</v>
      </c>
    </row>
    <row r="168" spans="1:13">
      <c r="A168" t="str">
        <f ca="1">OFFSET($N$2,(ROW(168:168)-2)/35,0)</f>
        <v>内蒙古自治区</v>
      </c>
      <c r="B168">
        <f ca="1">OFFSET($O$1,0,MOD(ROW(168:168)-2,35))</f>
        <v>2016</v>
      </c>
      <c r="C168">
        <f ca="1" t="shared" si="22"/>
        <v>0.218484</v>
      </c>
      <c r="D168">
        <f ca="1" t="shared" si="23"/>
        <v>5</v>
      </c>
      <c r="E168">
        <f ca="1" t="shared" si="24"/>
        <v>1</v>
      </c>
      <c r="F168">
        <f ca="1" t="shared" si="25"/>
        <v>0.435657096</v>
      </c>
      <c r="G168">
        <f ca="1" t="shared" si="26"/>
        <v>0.05041955268</v>
      </c>
      <c r="H168">
        <f ca="1" t="shared" si="27"/>
        <v>0.5037257862</v>
      </c>
      <c r="I168">
        <f ca="1" t="shared" si="28"/>
        <v>1049</v>
      </c>
      <c r="J168">
        <f ca="1" t="shared" si="29"/>
        <v>48</v>
      </c>
      <c r="K168">
        <f ca="1" t="shared" si="30"/>
        <v>19456</v>
      </c>
      <c r="L168">
        <f ca="1" t="shared" si="31"/>
        <v>2907</v>
      </c>
      <c r="M168">
        <f ca="1" t="shared" si="32"/>
        <v>0.01804272084</v>
      </c>
    </row>
    <row r="169" spans="1:13">
      <c r="A169" t="str">
        <f ca="1">OFFSET($N$2,(ROW(169:169)-2)/35,0)</f>
        <v>内蒙古自治区</v>
      </c>
      <c r="B169">
        <f ca="1">OFFSET($O$1,0,MOD(ROW(169:169)-2,35))</f>
        <v>2017</v>
      </c>
      <c r="C169">
        <f ca="1" t="shared" si="22"/>
        <v>0.24730356</v>
      </c>
      <c r="D169">
        <f ca="1" t="shared" si="23"/>
        <v>5</v>
      </c>
      <c r="E169">
        <f ca="1" t="shared" si="24"/>
        <v>1</v>
      </c>
      <c r="F169">
        <f ca="1" t="shared" si="25"/>
        <v>0.453043635016</v>
      </c>
      <c r="G169">
        <f ca="1" t="shared" si="26"/>
        <v>0.0527362476522</v>
      </c>
      <c r="H169">
        <f ca="1" t="shared" si="27"/>
        <v>0.5137731459</v>
      </c>
      <c r="I169">
        <f ca="1" t="shared" si="28"/>
        <v>1128</v>
      </c>
      <c r="J169">
        <f ca="1" t="shared" si="29"/>
        <v>36</v>
      </c>
      <c r="K169">
        <f ca="1" t="shared" si="30"/>
        <v>26132</v>
      </c>
      <c r="L169">
        <f ca="1" t="shared" si="31"/>
        <v>3036</v>
      </c>
      <c r="M169">
        <f ca="1" t="shared" si="32"/>
        <v>0.0179743760316</v>
      </c>
    </row>
    <row r="170" spans="1:13">
      <c r="A170" t="str">
        <f ca="1">OFFSET($N$2,(ROW(170:170)-2)/35,0)</f>
        <v>内蒙古自治区</v>
      </c>
      <c r="B170">
        <f ca="1">OFFSET($O$1,0,MOD(ROW(170:170)-2,35))</f>
        <v>2018</v>
      </c>
      <c r="C170">
        <f ca="1" t="shared" si="22"/>
        <v>0.22653624</v>
      </c>
      <c r="D170">
        <f ca="1" t="shared" si="23"/>
        <v>5</v>
      </c>
      <c r="E170">
        <f ca="1" t="shared" si="24"/>
        <v>1</v>
      </c>
      <c r="F170">
        <f ca="1" t="shared" si="25"/>
        <v>0.390253980648</v>
      </c>
      <c r="G170">
        <f ca="1" t="shared" si="26"/>
        <v>0.0556271064132</v>
      </c>
      <c r="H170">
        <f ca="1" t="shared" si="27"/>
        <v>0.468001218216</v>
      </c>
      <c r="I170">
        <f ca="1" t="shared" si="28"/>
        <v>1082</v>
      </c>
      <c r="J170">
        <f ca="1" t="shared" si="29"/>
        <v>199</v>
      </c>
      <c r="K170">
        <f ca="1" t="shared" si="30"/>
        <v>16495</v>
      </c>
      <c r="L170">
        <f ca="1" t="shared" si="31"/>
        <v>2819</v>
      </c>
      <c r="M170">
        <f ca="1" t="shared" si="32"/>
        <v>0.016524200592</v>
      </c>
    </row>
    <row r="171" spans="1:13">
      <c r="A171" t="str">
        <f ca="1">OFFSET($N$2,(ROW(171:171)-2)/35,0)</f>
        <v>内蒙古自治区</v>
      </c>
      <c r="B171">
        <f ca="1">OFFSET($O$1,0,MOD(ROW(171:171)-2,35))</f>
        <v>2019</v>
      </c>
      <c r="C171">
        <f ca="1" t="shared" si="22"/>
        <v>0.24507756</v>
      </c>
      <c r="D171">
        <f ca="1" t="shared" si="23"/>
        <v>5</v>
      </c>
      <c r="E171">
        <f ca="1" t="shared" si="24"/>
        <v>1</v>
      </c>
      <c r="F171">
        <f ca="1" t="shared" si="25"/>
        <v>0.458564622516</v>
      </c>
      <c r="G171">
        <f ca="1" t="shared" si="26"/>
        <v>0.055589717547</v>
      </c>
      <c r="H171">
        <f ca="1" t="shared" si="27"/>
        <v>0.607633048386</v>
      </c>
      <c r="I171">
        <f ca="1" t="shared" si="28"/>
        <v>1388</v>
      </c>
      <c r="J171">
        <f ca="1" t="shared" si="29"/>
        <v>132</v>
      </c>
      <c r="K171">
        <f ca="1" t="shared" si="30"/>
        <v>20588</v>
      </c>
      <c r="L171">
        <f ca="1" t="shared" si="31"/>
        <v>3434</v>
      </c>
      <c r="M171">
        <f ca="1" t="shared" si="32"/>
        <v>0.0184196792988</v>
      </c>
    </row>
    <row r="172" spans="1:13">
      <c r="A172" t="str">
        <f ca="1">OFFSET($N$2,(ROW(172:172)-2)/35,0)</f>
        <v>内蒙古自治区</v>
      </c>
      <c r="B172">
        <f ca="1">OFFSET($O$1,0,MOD(ROW(172:172)-2,35))</f>
        <v>2020</v>
      </c>
      <c r="C172">
        <f ca="1" t="shared" si="22"/>
        <v>0.2554608</v>
      </c>
      <c r="D172">
        <f ca="1" t="shared" si="23"/>
        <v>5</v>
      </c>
      <c r="E172">
        <f ca="1" t="shared" si="24"/>
        <v>1</v>
      </c>
      <c r="F172">
        <f ca="1" t="shared" si="25"/>
        <v>0.4744332824</v>
      </c>
      <c r="G172">
        <f ca="1" t="shared" si="26"/>
        <v>0.059559408216</v>
      </c>
      <c r="H172">
        <f ca="1" t="shared" si="27"/>
        <v>0.60698763384</v>
      </c>
      <c r="I172">
        <f ca="1" t="shared" si="28"/>
        <v>1436</v>
      </c>
      <c r="J172">
        <f ca="1" t="shared" si="29"/>
        <v>223</v>
      </c>
      <c r="K172">
        <f ca="1" t="shared" si="30"/>
        <v>30611</v>
      </c>
      <c r="L172">
        <f ca="1" t="shared" si="31"/>
        <v>3807</v>
      </c>
      <c r="M172">
        <f ca="1" t="shared" si="32"/>
        <v>0.019712085216</v>
      </c>
    </row>
    <row r="173" spans="1:13">
      <c r="A173" t="str">
        <f ca="1">OFFSET($N$2,(ROW(173:173)-2)/35,0)</f>
        <v>内蒙古自治区</v>
      </c>
      <c r="B173">
        <f ca="1">OFFSET($O$1,0,MOD(ROW(173:173)-2,35))</f>
        <v>2021</v>
      </c>
      <c r="C173">
        <f ca="1" t="shared" si="22"/>
        <v>0.2560614</v>
      </c>
      <c r="D173">
        <f ca="1" t="shared" si="23"/>
        <v>5</v>
      </c>
      <c r="E173">
        <f ca="1" t="shared" si="24"/>
        <v>1</v>
      </c>
      <c r="F173">
        <f ca="1" t="shared" si="25"/>
        <v>0.49483012012</v>
      </c>
      <c r="G173">
        <f ca="1" t="shared" si="26"/>
        <v>0.053317104708</v>
      </c>
      <c r="H173">
        <f ca="1" t="shared" si="27"/>
        <v>0.59767291374</v>
      </c>
      <c r="I173">
        <f ca="1" t="shared" si="28"/>
        <v>1183</v>
      </c>
      <c r="J173">
        <f ca="1" t="shared" si="29"/>
        <v>187</v>
      </c>
      <c r="K173">
        <f ca="1" t="shared" si="30"/>
        <v>22170</v>
      </c>
      <c r="L173">
        <f ca="1" t="shared" si="31"/>
        <v>3314</v>
      </c>
      <c r="M173">
        <f ca="1" t="shared" si="32"/>
        <v>0.02102812797</v>
      </c>
    </row>
    <row r="174" spans="1:13">
      <c r="A174" t="str">
        <f ca="1">OFFSET($N$2,(ROW(174:174)-2)/35,0)</f>
        <v>内蒙古自治区</v>
      </c>
      <c r="B174">
        <f ca="1">OFFSET($O$1,0,MOD(ROW(174:174)-2,35))</f>
        <v>2022</v>
      </c>
      <c r="C174">
        <f ca="1" t="shared" si="22"/>
        <v>0.26096616</v>
      </c>
      <c r="D174">
        <f ca="1" t="shared" si="23"/>
        <v>5</v>
      </c>
      <c r="E174">
        <f ca="1" t="shared" si="24"/>
        <v>1</v>
      </c>
      <c r="F174">
        <f ca="1" t="shared" si="25"/>
        <v>0.435656907504</v>
      </c>
      <c r="G174">
        <f ca="1" t="shared" si="26"/>
        <v>0.0601696626804</v>
      </c>
      <c r="H174">
        <f ca="1" t="shared" si="27"/>
        <v>0.542587791564</v>
      </c>
      <c r="I174">
        <f ca="1" t="shared" si="28"/>
        <v>1565</v>
      </c>
      <c r="J174">
        <f ca="1" t="shared" si="29"/>
        <v>253</v>
      </c>
      <c r="K174">
        <f ca="1" t="shared" si="30"/>
        <v>21812</v>
      </c>
      <c r="L174">
        <f ca="1" t="shared" si="31"/>
        <v>4875</v>
      </c>
      <c r="M174">
        <f ca="1" t="shared" si="32"/>
        <v>0.0206942436792</v>
      </c>
    </row>
    <row r="175" spans="1:13">
      <c r="A175" t="str">
        <f ca="1">OFFSET($N$2,(ROW(175:175)-2)/35,0)</f>
        <v>内蒙古自治区</v>
      </c>
      <c r="B175">
        <f ca="1">OFFSET($O$1,0,MOD(ROW(175:175)-2,35))</f>
        <v>2023</v>
      </c>
      <c r="C175">
        <f ca="1" t="shared" si="22"/>
        <v>0.27440364</v>
      </c>
      <c r="D175">
        <f ca="1" t="shared" si="23"/>
        <v>5</v>
      </c>
      <c r="E175">
        <f ca="1" t="shared" si="24"/>
        <v>1</v>
      </c>
      <c r="F175">
        <f ca="1" t="shared" si="25"/>
        <v>0.491036166992</v>
      </c>
      <c r="G175">
        <f ca="1" t="shared" si="26"/>
        <v>0.0562019815266</v>
      </c>
      <c r="H175">
        <f ca="1" t="shared" si="27"/>
        <v>0.564256204932</v>
      </c>
      <c r="I175">
        <f ca="1" t="shared" si="28"/>
        <v>1425</v>
      </c>
      <c r="J175">
        <f ca="1" t="shared" si="29"/>
        <v>141</v>
      </c>
      <c r="K175">
        <f ca="1" t="shared" si="30"/>
        <v>18959</v>
      </c>
      <c r="L175">
        <f ca="1" t="shared" si="31"/>
        <v>3483</v>
      </c>
      <c r="M175">
        <f ca="1" t="shared" si="32"/>
        <v>0.0216629913624</v>
      </c>
    </row>
    <row r="176" spans="1:13">
      <c r="A176" t="str">
        <f ca="1">OFFSET($N$2,(ROW(176:176)-2)/35,0)</f>
        <v>内蒙古自治区</v>
      </c>
      <c r="B176">
        <f ca="1">OFFSET($O$1,0,MOD(ROW(176:176)-2,35))</f>
        <v>2024</v>
      </c>
      <c r="C176">
        <f ca="1" t="shared" si="22"/>
        <v>0.29250144</v>
      </c>
      <c r="D176">
        <f ca="1" t="shared" si="23"/>
        <v>5</v>
      </c>
      <c r="E176">
        <f ca="1" t="shared" si="24"/>
        <v>1</v>
      </c>
      <c r="F176">
        <f ca="1" t="shared" si="25"/>
        <v>0.55019520864</v>
      </c>
      <c r="G176">
        <f ca="1" t="shared" si="26"/>
        <v>0.061103550816</v>
      </c>
      <c r="H176">
        <f ca="1" t="shared" si="27"/>
        <v>0.619327923984</v>
      </c>
      <c r="I176">
        <f ca="1" t="shared" si="28"/>
        <v>1307</v>
      </c>
      <c r="J176">
        <f ca="1" t="shared" si="29"/>
        <v>168</v>
      </c>
      <c r="K176">
        <f ca="1" t="shared" si="30"/>
        <v>25655</v>
      </c>
      <c r="L176">
        <f ca="1" t="shared" si="31"/>
        <v>4476</v>
      </c>
      <c r="M176">
        <f ca="1" t="shared" si="32"/>
        <v>0.024237922896</v>
      </c>
    </row>
    <row r="177" spans="1:13">
      <c r="A177" t="str">
        <f ca="1">OFFSET($N$2,(ROW(177:177)-2)/35,0)</f>
        <v>辽宁省</v>
      </c>
      <c r="B177">
        <f ca="1">OFFSET($O$1,0,MOD(ROW(177:177)-2,35))</f>
        <v>1990</v>
      </c>
      <c r="C177">
        <f ca="1" t="shared" si="22"/>
        <v>0.1158108</v>
      </c>
      <c r="D177">
        <f ca="1" t="shared" si="23"/>
        <v>4</v>
      </c>
      <c r="E177">
        <f ca="1" t="shared" si="24"/>
        <v>0</v>
      </c>
      <c r="F177">
        <f ca="1" t="shared" si="25"/>
        <v>0.2097912642</v>
      </c>
      <c r="G177">
        <f ca="1" t="shared" si="26"/>
        <v>0.02742110217</v>
      </c>
      <c r="H177">
        <f ca="1" t="shared" si="27"/>
        <v>0.240017883</v>
      </c>
      <c r="I177">
        <f ca="1" t="shared" si="28"/>
        <v>633</v>
      </c>
      <c r="J177">
        <f ca="1" t="shared" si="29"/>
        <v>13</v>
      </c>
      <c r="K177">
        <f ca="1" t="shared" si="30"/>
        <v>11467</v>
      </c>
      <c r="L177">
        <f ca="1" t="shared" si="31"/>
        <v>1358</v>
      </c>
      <c r="M177">
        <f ca="1" t="shared" si="32"/>
        <v>0.00966275682</v>
      </c>
    </row>
    <row r="178" spans="1:13">
      <c r="A178" t="str">
        <f ca="1">OFFSET($N$2,(ROW(178:178)-2)/35,0)</f>
        <v>辽宁省</v>
      </c>
      <c r="B178">
        <f ca="1">OFFSET($O$1,0,MOD(ROW(178:178)-2,35))</f>
        <v>1991</v>
      </c>
      <c r="C178">
        <f ca="1" t="shared" si="22"/>
        <v>0.12855612</v>
      </c>
      <c r="D178">
        <f ca="1" t="shared" si="23"/>
        <v>4</v>
      </c>
      <c r="E178">
        <f ca="1" t="shared" si="24"/>
        <v>1</v>
      </c>
      <c r="F178">
        <f ca="1" t="shared" si="25"/>
        <v>0.223661937576</v>
      </c>
      <c r="G178">
        <f ca="1" t="shared" si="26"/>
        <v>0.030152837946</v>
      </c>
      <c r="H178">
        <f ca="1" t="shared" si="27"/>
        <v>0.299850722094</v>
      </c>
      <c r="I178">
        <f ca="1" t="shared" si="28"/>
        <v>543</v>
      </c>
      <c r="J178">
        <f ca="1" t="shared" si="29"/>
        <v>13</v>
      </c>
      <c r="K178">
        <f ca="1" t="shared" si="30"/>
        <v>8106</v>
      </c>
      <c r="L178">
        <f ca="1" t="shared" si="31"/>
        <v>1583</v>
      </c>
      <c r="M178">
        <f ca="1" t="shared" si="32"/>
        <v>0.0101895417228</v>
      </c>
    </row>
    <row r="179" spans="1:13">
      <c r="A179" t="str">
        <f ca="1">OFFSET($N$2,(ROW(179:179)-2)/35,0)</f>
        <v>辽宁省</v>
      </c>
      <c r="B179">
        <f ca="1">OFFSET($O$1,0,MOD(ROW(179:179)-2,35))</f>
        <v>1992</v>
      </c>
      <c r="C179">
        <f ca="1" t="shared" si="22"/>
        <v>0.13793472</v>
      </c>
      <c r="D179">
        <f ca="1" t="shared" si="23"/>
        <v>4</v>
      </c>
      <c r="E179">
        <f ca="1" t="shared" si="24"/>
        <v>1</v>
      </c>
      <c r="F179">
        <f ca="1" t="shared" si="25"/>
        <v>0.270388833792</v>
      </c>
      <c r="G179">
        <f ca="1" t="shared" si="26"/>
        <v>0.0283242050784</v>
      </c>
      <c r="H179">
        <f ca="1" t="shared" si="27"/>
        <v>0.295256164896</v>
      </c>
      <c r="I179">
        <f ca="1" t="shared" si="28"/>
        <v>648</v>
      </c>
      <c r="J179">
        <f ca="1" t="shared" si="29"/>
        <v>24</v>
      </c>
      <c r="K179">
        <f ca="1" t="shared" si="30"/>
        <v>15259</v>
      </c>
      <c r="L179">
        <f ca="1" t="shared" si="31"/>
        <v>2650</v>
      </c>
      <c r="M179">
        <f ca="1" t="shared" si="32"/>
        <v>0.0114137039808</v>
      </c>
    </row>
    <row r="180" spans="1:13">
      <c r="A180" t="str">
        <f ca="1">OFFSET($N$2,(ROW(180:180)-2)/35,0)</f>
        <v>辽宁省</v>
      </c>
      <c r="B180">
        <f ca="1">OFFSET($O$1,0,MOD(ROW(180:180)-2,35))</f>
        <v>1993</v>
      </c>
      <c r="C180">
        <f ca="1" t="shared" si="22"/>
        <v>0.15150408</v>
      </c>
      <c r="D180">
        <f ca="1" t="shared" si="23"/>
        <v>4</v>
      </c>
      <c r="E180">
        <f ca="1" t="shared" si="24"/>
        <v>1</v>
      </c>
      <c r="F180">
        <f ca="1" t="shared" si="25"/>
        <v>0.280322949088</v>
      </c>
      <c r="G180">
        <f ca="1" t="shared" si="26"/>
        <v>0.034005090756</v>
      </c>
      <c r="H180">
        <f ca="1" t="shared" si="27"/>
        <v>0.367904932668</v>
      </c>
      <c r="I180">
        <f ca="1" t="shared" si="28"/>
        <v>883</v>
      </c>
      <c r="J180">
        <f ca="1" t="shared" si="29"/>
        <v>28</v>
      </c>
      <c r="K180">
        <f ca="1" t="shared" si="30"/>
        <v>17343</v>
      </c>
      <c r="L180">
        <f ca="1" t="shared" si="31"/>
        <v>2850</v>
      </c>
      <c r="M180">
        <f ca="1" t="shared" si="32"/>
        <v>0.0117532536576</v>
      </c>
    </row>
    <row r="181" spans="1:13">
      <c r="A181" t="str">
        <f ca="1">OFFSET($N$2,(ROW(181:181)-2)/35,0)</f>
        <v>辽宁省</v>
      </c>
      <c r="B181">
        <f ca="1">OFFSET($O$1,0,MOD(ROW(181:181)-2,35))</f>
        <v>1994</v>
      </c>
      <c r="C181">
        <f ca="1" t="shared" si="22"/>
        <v>0.15472632</v>
      </c>
      <c r="D181">
        <f ca="1" t="shared" si="23"/>
        <v>4</v>
      </c>
      <c r="E181">
        <f ca="1" t="shared" si="24"/>
        <v>1</v>
      </c>
      <c r="F181">
        <f ca="1" t="shared" si="25"/>
        <v>0.294279145552</v>
      </c>
      <c r="G181">
        <f ca="1" t="shared" si="26"/>
        <v>0.0374081823864</v>
      </c>
      <c r="H181">
        <f ca="1" t="shared" si="27"/>
        <v>0.33444094068</v>
      </c>
      <c r="I181">
        <f ca="1" t="shared" si="28"/>
        <v>787</v>
      </c>
      <c r="J181">
        <f ca="1" t="shared" si="29"/>
        <v>24</v>
      </c>
      <c r="K181">
        <f ca="1" t="shared" si="30"/>
        <v>12484</v>
      </c>
      <c r="L181">
        <f ca="1" t="shared" si="31"/>
        <v>2651</v>
      </c>
      <c r="M181">
        <f ca="1" t="shared" si="32"/>
        <v>0.0118953594816</v>
      </c>
    </row>
    <row r="182" spans="1:13">
      <c r="A182" t="str">
        <f ca="1">OFFSET($N$2,(ROW(182:182)-2)/35,0)</f>
        <v>辽宁省</v>
      </c>
      <c r="B182">
        <f ca="1">OFFSET($O$1,0,MOD(ROW(182:182)-2,35))</f>
        <v>1995</v>
      </c>
      <c r="C182">
        <f ca="1" t="shared" si="22"/>
        <v>0.1677564</v>
      </c>
      <c r="D182">
        <f ca="1" t="shared" si="23"/>
        <v>4</v>
      </c>
      <c r="E182">
        <f ca="1" t="shared" si="24"/>
        <v>1</v>
      </c>
      <c r="F182">
        <f ca="1" t="shared" si="25"/>
        <v>0.32612403348</v>
      </c>
      <c r="G182">
        <f ca="1" t="shared" si="26"/>
        <v>0.040201982478</v>
      </c>
      <c r="H182">
        <f ca="1" t="shared" si="27"/>
        <v>0.34516718082</v>
      </c>
      <c r="I182">
        <f ca="1" t="shared" si="28"/>
        <v>921</v>
      </c>
      <c r="J182">
        <f ca="1" t="shared" si="29"/>
        <v>33</v>
      </c>
      <c r="K182">
        <f ca="1" t="shared" si="30"/>
        <v>19178</v>
      </c>
      <c r="L182">
        <f ca="1" t="shared" si="31"/>
        <v>2939</v>
      </c>
      <c r="M182">
        <f ca="1" t="shared" si="32"/>
        <v>0.013019334552</v>
      </c>
    </row>
    <row r="183" spans="1:13">
      <c r="A183" t="str">
        <f ca="1">OFFSET($N$2,(ROW(183:183)-2)/35,0)</f>
        <v>辽宁省</v>
      </c>
      <c r="B183">
        <f ca="1">OFFSET($O$1,0,MOD(ROW(183:183)-2,35))</f>
        <v>1996</v>
      </c>
      <c r="C183">
        <f ca="1" t="shared" si="22"/>
        <v>0.1761984</v>
      </c>
      <c r="D183">
        <f ca="1" t="shared" si="23"/>
        <v>4</v>
      </c>
      <c r="E183">
        <f ca="1" t="shared" si="24"/>
        <v>1</v>
      </c>
      <c r="F183">
        <f ca="1" t="shared" si="25"/>
        <v>0.35058782976</v>
      </c>
      <c r="G183">
        <f ca="1" t="shared" si="26"/>
        <v>0.042602130144</v>
      </c>
      <c r="H183">
        <f ca="1" t="shared" si="27"/>
        <v>0.42758065728</v>
      </c>
      <c r="I183">
        <f ca="1" t="shared" si="28"/>
        <v>961</v>
      </c>
      <c r="J183">
        <f ca="1" t="shared" si="29"/>
        <v>32</v>
      </c>
      <c r="K183">
        <f ca="1" t="shared" si="30"/>
        <v>16814</v>
      </c>
      <c r="L183">
        <f ca="1" t="shared" si="31"/>
        <v>2402</v>
      </c>
      <c r="M183">
        <f ca="1" t="shared" si="32"/>
        <v>0.014448772224</v>
      </c>
    </row>
    <row r="184" spans="1:13">
      <c r="A184" t="str">
        <f ca="1">OFFSET($N$2,(ROW(184:184)-2)/35,0)</f>
        <v>辽宁省</v>
      </c>
      <c r="B184">
        <f ca="1">OFFSET($O$1,0,MOD(ROW(184:184)-2,35))</f>
        <v>1997</v>
      </c>
      <c r="C184">
        <f ca="1" t="shared" si="22"/>
        <v>0.19489344</v>
      </c>
      <c r="D184">
        <f ca="1" t="shared" si="23"/>
        <v>4</v>
      </c>
      <c r="E184">
        <f ca="1" t="shared" si="24"/>
        <v>1</v>
      </c>
      <c r="F184">
        <f ca="1" t="shared" si="25"/>
        <v>0.362540777088</v>
      </c>
      <c r="G184">
        <f ca="1" t="shared" si="26"/>
        <v>0.0459217668</v>
      </c>
      <c r="H184">
        <f ca="1" t="shared" si="27"/>
        <v>0.409061841216</v>
      </c>
      <c r="I184">
        <f ca="1" t="shared" si="28"/>
        <v>1087</v>
      </c>
      <c r="J184">
        <f ca="1" t="shared" si="29"/>
        <v>22</v>
      </c>
      <c r="K184">
        <f ca="1" t="shared" si="30"/>
        <v>14991</v>
      </c>
      <c r="L184">
        <f ca="1" t="shared" si="31"/>
        <v>3859</v>
      </c>
      <c r="M184">
        <f ca="1" t="shared" si="32"/>
        <v>0.0151198330752</v>
      </c>
    </row>
    <row r="185" spans="1:13">
      <c r="A185" t="str">
        <f ca="1">OFFSET($N$2,(ROW(185:185)-2)/35,0)</f>
        <v>辽宁省</v>
      </c>
      <c r="B185">
        <f ca="1">OFFSET($O$1,0,MOD(ROW(185:185)-2,35))</f>
        <v>1998</v>
      </c>
      <c r="C185">
        <f ca="1" t="shared" si="22"/>
        <v>0.20746152</v>
      </c>
      <c r="D185">
        <f ca="1" t="shared" si="23"/>
        <v>4</v>
      </c>
      <c r="E185">
        <f ca="1" t="shared" si="24"/>
        <v>1</v>
      </c>
      <c r="F185">
        <f ca="1" t="shared" si="25"/>
        <v>0.368721359496</v>
      </c>
      <c r="G185">
        <f ca="1" t="shared" si="26"/>
        <v>0.04367064996</v>
      </c>
      <c r="H185">
        <f ca="1" t="shared" si="27"/>
        <v>0.448230987036</v>
      </c>
      <c r="I185">
        <f ca="1" t="shared" si="28"/>
        <v>929</v>
      </c>
      <c r="J185">
        <f ca="1" t="shared" si="29"/>
        <v>29</v>
      </c>
      <c r="K185">
        <f ca="1" t="shared" si="30"/>
        <v>23252</v>
      </c>
      <c r="L185">
        <f ca="1" t="shared" si="31"/>
        <v>2904</v>
      </c>
      <c r="M185">
        <f ca="1" t="shared" si="32"/>
        <v>0.015458846976</v>
      </c>
    </row>
    <row r="186" spans="1:13">
      <c r="A186" t="str">
        <f ca="1">OFFSET($N$2,(ROW(186:186)-2)/35,0)</f>
        <v>辽宁省</v>
      </c>
      <c r="B186">
        <f ca="1">OFFSET($O$1,0,MOD(ROW(186:186)-2,35))</f>
        <v>1999</v>
      </c>
      <c r="C186">
        <f ca="1" t="shared" si="22"/>
        <v>0.21169344</v>
      </c>
      <c r="D186">
        <f ca="1" t="shared" si="23"/>
        <v>4</v>
      </c>
      <c r="E186">
        <f ca="1" t="shared" si="24"/>
        <v>1</v>
      </c>
      <c r="F186">
        <f ca="1" t="shared" si="25"/>
        <v>0.391957460608</v>
      </c>
      <c r="G186">
        <f ca="1" t="shared" si="26"/>
        <v>0.046593726144</v>
      </c>
      <c r="H186">
        <f ca="1" t="shared" si="27"/>
        <v>0.499236639552</v>
      </c>
      <c r="I186">
        <f ca="1" t="shared" si="28"/>
        <v>1060</v>
      </c>
      <c r="J186">
        <f ca="1" t="shared" si="29"/>
        <v>36</v>
      </c>
      <c r="K186">
        <f ca="1" t="shared" si="30"/>
        <v>23892</v>
      </c>
      <c r="L186">
        <f ca="1" t="shared" si="31"/>
        <v>2142</v>
      </c>
      <c r="M186">
        <f ca="1" t="shared" si="32"/>
        <v>0.0165777132864</v>
      </c>
    </row>
    <row r="187" spans="1:13">
      <c r="A187" t="str">
        <f ca="1">OFFSET($N$2,(ROW(187:187)-2)/35,0)</f>
        <v>辽宁省</v>
      </c>
      <c r="B187">
        <f ca="1">OFFSET($O$1,0,MOD(ROW(187:187)-2,35))</f>
        <v>2000</v>
      </c>
      <c r="C187">
        <f ca="1" t="shared" si="22"/>
        <v>0.222348</v>
      </c>
      <c r="D187">
        <f ca="1" t="shared" si="23"/>
        <v>4</v>
      </c>
      <c r="E187">
        <f ca="1" t="shared" si="24"/>
        <v>1</v>
      </c>
      <c r="F187">
        <f ca="1" t="shared" si="25"/>
        <v>0.3747527308</v>
      </c>
      <c r="G187">
        <f ca="1" t="shared" si="26"/>
        <v>0.04802494452</v>
      </c>
      <c r="H187">
        <f ca="1" t="shared" si="27"/>
        <v>0.4771921602</v>
      </c>
      <c r="I187">
        <f ca="1" t="shared" si="28"/>
        <v>1130</v>
      </c>
      <c r="J187">
        <f ca="1" t="shared" si="29"/>
        <v>44</v>
      </c>
      <c r="K187">
        <f ca="1" t="shared" si="30"/>
        <v>25959</v>
      </c>
      <c r="L187">
        <f ca="1" t="shared" si="31"/>
        <v>3365</v>
      </c>
      <c r="M187">
        <f ca="1" t="shared" si="32"/>
        <v>0.01589375268</v>
      </c>
    </row>
    <row r="188" spans="1:13">
      <c r="A188" t="str">
        <f ca="1">OFFSET($N$2,(ROW(188:188)-2)/35,0)</f>
        <v>辽宁省</v>
      </c>
      <c r="B188">
        <f ca="1">OFFSET($O$1,0,MOD(ROW(188:188)-2,35))</f>
        <v>2001</v>
      </c>
      <c r="C188">
        <f ca="1" t="shared" si="22"/>
        <v>0.24068016</v>
      </c>
      <c r="D188">
        <f ca="1" t="shared" si="23"/>
        <v>4</v>
      </c>
      <c r="E188">
        <f ca="1" t="shared" si="24"/>
        <v>1</v>
      </c>
      <c r="F188">
        <f ca="1" t="shared" si="25"/>
        <v>0.431034098544</v>
      </c>
      <c r="G188">
        <f ca="1" t="shared" si="26"/>
        <v>0.05448397122</v>
      </c>
      <c r="H188">
        <f ca="1" t="shared" si="27"/>
        <v>0.596995102872</v>
      </c>
      <c r="I188">
        <f ca="1" t="shared" si="28"/>
        <v>1392</v>
      </c>
      <c r="J188">
        <f ca="1" t="shared" si="29"/>
        <v>32</v>
      </c>
      <c r="K188">
        <f ca="1" t="shared" si="30"/>
        <v>20513</v>
      </c>
      <c r="L188">
        <f ca="1" t="shared" si="31"/>
        <v>2724</v>
      </c>
      <c r="M188">
        <f ca="1" t="shared" si="32"/>
        <v>0.0188473195008</v>
      </c>
    </row>
    <row r="189" spans="1:13">
      <c r="A189" t="str">
        <f ca="1">OFFSET($N$2,(ROW(189:189)-2)/35,0)</f>
        <v>辽宁省</v>
      </c>
      <c r="B189">
        <f ca="1">OFFSET($O$1,0,MOD(ROW(189:189)-2,35))</f>
        <v>2002</v>
      </c>
      <c r="C189">
        <f ca="1" t="shared" si="22"/>
        <v>0.25408152</v>
      </c>
      <c r="D189">
        <f ca="1" t="shared" si="23"/>
        <v>4</v>
      </c>
      <c r="E189">
        <f ca="1" t="shared" si="24"/>
        <v>1</v>
      </c>
      <c r="F189">
        <f ca="1" t="shared" si="25"/>
        <v>0.434530215504</v>
      </c>
      <c r="G189">
        <f ca="1" t="shared" si="26"/>
        <v>0.0624176662032</v>
      </c>
      <c r="H189">
        <f ca="1" t="shared" si="27"/>
        <v>0.597485398356</v>
      </c>
      <c r="I189">
        <f ca="1" t="shared" si="28"/>
        <v>1034</v>
      </c>
      <c r="J189">
        <f ca="1" t="shared" si="29"/>
        <v>27</v>
      </c>
      <c r="K189">
        <f ca="1" t="shared" si="30"/>
        <v>26863</v>
      </c>
      <c r="L189">
        <f ca="1" t="shared" si="31"/>
        <v>2674</v>
      </c>
      <c r="M189">
        <f ca="1" t="shared" si="32"/>
        <v>0.0194150948904</v>
      </c>
    </row>
    <row r="190" spans="1:13">
      <c r="A190" t="str">
        <f ca="1">OFFSET($N$2,(ROW(190:190)-2)/35,0)</f>
        <v>辽宁省</v>
      </c>
      <c r="B190">
        <f ca="1">OFFSET($O$1,0,MOD(ROW(190:190)-2,35))</f>
        <v>2003</v>
      </c>
      <c r="C190">
        <f ca="1" t="shared" si="22"/>
        <v>0.25964148</v>
      </c>
      <c r="D190">
        <f ca="1" t="shared" si="23"/>
        <v>5</v>
      </c>
      <c r="E190">
        <f ca="1" t="shared" si="24"/>
        <v>2</v>
      </c>
      <c r="F190">
        <f ca="1" t="shared" si="25"/>
        <v>0.457341157588</v>
      </c>
      <c r="G190">
        <f ca="1" t="shared" si="26"/>
        <v>0.058776340035</v>
      </c>
      <c r="H190">
        <f ca="1" t="shared" si="27"/>
        <v>0.616791317814</v>
      </c>
      <c r="I190">
        <f ca="1" t="shared" si="28"/>
        <v>1399</v>
      </c>
      <c r="J190">
        <f ca="1" t="shared" si="29"/>
        <v>37</v>
      </c>
      <c r="K190">
        <f ca="1" t="shared" si="30"/>
        <v>19394</v>
      </c>
      <c r="L190">
        <f ca="1" t="shared" si="31"/>
        <v>3536</v>
      </c>
      <c r="M190">
        <f ca="1" t="shared" si="32"/>
        <v>0.0198540421428</v>
      </c>
    </row>
    <row r="191" spans="1:13">
      <c r="A191" t="str">
        <f ca="1">OFFSET($N$2,(ROW(191:191)-2)/35,0)</f>
        <v>辽宁省</v>
      </c>
      <c r="B191">
        <f ca="1">OFFSET($O$1,0,MOD(ROW(191:191)-2,35))</f>
        <v>2004</v>
      </c>
      <c r="C191">
        <f ca="1" t="shared" si="22"/>
        <v>0.26808768</v>
      </c>
      <c r="D191">
        <f ca="1" t="shared" si="23"/>
        <v>6</v>
      </c>
      <c r="E191">
        <f ca="1" t="shared" si="24"/>
        <v>2</v>
      </c>
      <c r="F191">
        <f ca="1" t="shared" si="25"/>
        <v>0.492146426688</v>
      </c>
      <c r="G191">
        <f ca="1" t="shared" si="26"/>
        <v>0.0594229747104</v>
      </c>
      <c r="H191">
        <f ca="1" t="shared" si="27"/>
        <v>0.583331982912</v>
      </c>
      <c r="I191">
        <f ca="1" t="shared" si="28"/>
        <v>1386</v>
      </c>
      <c r="J191">
        <f ca="1" t="shared" si="29"/>
        <v>35</v>
      </c>
      <c r="K191">
        <f ca="1" t="shared" si="30"/>
        <v>18419</v>
      </c>
      <c r="L191">
        <f ca="1" t="shared" si="31"/>
        <v>4882</v>
      </c>
      <c r="M191">
        <f ca="1" t="shared" si="32"/>
        <v>0.022513620384</v>
      </c>
    </row>
    <row r="192" spans="1:13">
      <c r="A192" t="str">
        <f ca="1">OFFSET($N$2,(ROW(192:192)-2)/35,0)</f>
        <v>辽宁省</v>
      </c>
      <c r="B192">
        <f ca="1">OFFSET($O$1,0,MOD(ROW(192:192)-2,35))</f>
        <v>2005</v>
      </c>
      <c r="C192">
        <f ca="1" t="shared" si="22"/>
        <v>0.28896</v>
      </c>
      <c r="D192">
        <f ca="1" t="shared" si="23"/>
        <v>6</v>
      </c>
      <c r="E192">
        <f ca="1" t="shared" si="24"/>
        <v>2</v>
      </c>
      <c r="F192">
        <f ca="1" t="shared" si="25"/>
        <v>0.516332992</v>
      </c>
      <c r="G192">
        <f ca="1" t="shared" si="26"/>
        <v>0.0647111472</v>
      </c>
      <c r="H192">
        <f ca="1" t="shared" si="27"/>
        <v>0.650578992</v>
      </c>
      <c r="I192">
        <f ca="1" t="shared" si="28"/>
        <v>1256</v>
      </c>
      <c r="J192">
        <f ca="1" t="shared" si="29"/>
        <v>33</v>
      </c>
      <c r="K192">
        <f ca="1" t="shared" si="30"/>
        <v>29129</v>
      </c>
      <c r="L192">
        <f ca="1" t="shared" si="31"/>
        <v>4293</v>
      </c>
      <c r="M192">
        <f ca="1" t="shared" si="32"/>
        <v>0.0233607648</v>
      </c>
    </row>
    <row r="193" spans="1:13">
      <c r="A193" t="str">
        <f ca="1">OFFSET($N$2,(ROW(193:193)-2)/35,0)</f>
        <v>辽宁省</v>
      </c>
      <c r="B193">
        <f ca="1">OFFSET($O$1,0,MOD(ROW(193:193)-2,35))</f>
        <v>2006</v>
      </c>
      <c r="C193">
        <f ca="1" t="shared" si="22"/>
        <v>0.2999724</v>
      </c>
      <c r="D193">
        <f ca="1" t="shared" si="23"/>
        <v>6</v>
      </c>
      <c r="E193">
        <f ca="1" t="shared" si="24"/>
        <v>2</v>
      </c>
      <c r="F193">
        <f ca="1" t="shared" si="25"/>
        <v>0.58192645784</v>
      </c>
      <c r="G193">
        <f ca="1" t="shared" si="26"/>
        <v>0.062328265272</v>
      </c>
      <c r="H193">
        <f ca="1" t="shared" si="27"/>
        <v>0.6828871686</v>
      </c>
      <c r="I193">
        <f ca="1" t="shared" si="28"/>
        <v>1604</v>
      </c>
      <c r="J193">
        <f ca="1" t="shared" si="29"/>
        <v>34</v>
      </c>
      <c r="K193">
        <f ca="1" t="shared" si="30"/>
        <v>24231</v>
      </c>
      <c r="L193">
        <f ca="1" t="shared" si="31"/>
        <v>3956</v>
      </c>
      <c r="M193">
        <f ca="1" t="shared" si="32"/>
        <v>0.02472201108</v>
      </c>
    </row>
    <row r="194" spans="1:13">
      <c r="A194" t="str">
        <f ca="1">OFFSET($N$2,(ROW(194:194)-2)/35,0)</f>
        <v>辽宁省</v>
      </c>
      <c r="B194">
        <f ca="1">OFFSET($O$1,0,MOD(ROW(194:194)-2,35))</f>
        <v>2007</v>
      </c>
      <c r="C194">
        <f ca="1" t="shared" si="22"/>
        <v>0.31200876</v>
      </c>
      <c r="D194">
        <f ca="1" t="shared" si="23"/>
        <v>6</v>
      </c>
      <c r="E194">
        <f ca="1" t="shared" si="24"/>
        <v>2</v>
      </c>
      <c r="F194">
        <f ca="1" t="shared" si="25"/>
        <v>0.544184878608</v>
      </c>
      <c r="G194">
        <f ca="1" t="shared" si="26"/>
        <v>0.0667433538954</v>
      </c>
      <c r="H194">
        <f ca="1" t="shared" si="27"/>
        <v>0.670569226992</v>
      </c>
      <c r="I194">
        <f ca="1" t="shared" si="28"/>
        <v>1615</v>
      </c>
      <c r="J194">
        <f ca="1" t="shared" si="29"/>
        <v>43</v>
      </c>
      <c r="K194">
        <f ca="1" t="shared" si="30"/>
        <v>25610</v>
      </c>
      <c r="L194">
        <f ca="1" t="shared" si="31"/>
        <v>4359</v>
      </c>
      <c r="M194">
        <f ca="1" t="shared" si="32"/>
        <v>0.0229963827924</v>
      </c>
    </row>
    <row r="195" spans="1:13">
      <c r="A195" t="str">
        <f ca="1">OFFSET($N$2,(ROW(195:195)-2)/35,0)</f>
        <v>辽宁省</v>
      </c>
      <c r="B195">
        <f ca="1">OFFSET($O$1,0,MOD(ROW(195:195)-2,35))</f>
        <v>2008</v>
      </c>
      <c r="C195">
        <f ca="1" t="shared" ref="C195:C258" si="33">IF(OR(A195="北京市",A195="上海市",A195="广东省"),(B195-1980)*RANDBETWEEN(15000,16000)/500000,IF(OR(A195="西藏自治区",A195="新疆维吾尔自治区",A195="青海省",A195="广西壮族自治区",A195="内蒙古自治区",A195="宁夏回族自治区",A195="贵州省",A195="甘肃省",A195="陕西省",A195="云南省"),(B195-1980)*RANDBETWEEN(7000,8000)/500000,IF(OR(A195="浙江省",A195="江苏省",A195="山东省",A195="辽宁省"),(B195-1980)*RANDBETWEEN(13000,14000)/500000,(B195-1980)*RANDBETWEEN(10000,11000)/500000)))*0.42</f>
        <v>0.3271632</v>
      </c>
      <c r="D195">
        <f ca="1" t="shared" ref="D195:D258" si="34">IF($B195=1990,ROUND($C195*RANDBETWEEN(10000,20000)/500,0),ROUND(D194+RANDBETWEEN(0,5)/10,0))</f>
        <v>6</v>
      </c>
      <c r="E195">
        <f ca="1" t="shared" ref="E195:E258" si="35">IF($B195=1990,ROUND($C195*RANDBETWEEN(10000,20000)/5000,0),ROUND(E194+RANDBETWEEN(0,20)/40,0))</f>
        <v>2</v>
      </c>
      <c r="F195">
        <f ca="1" t="shared" ref="F195:F258" si="36">$C195*RANDBETWEEN(50000,60000)/30000</f>
        <v>0.60388874</v>
      </c>
      <c r="G195">
        <f ca="1" t="shared" ref="G195:G258" si="37">$C195*RANDBETWEEN(40000,50000)/200000</f>
        <v>0.072929584728</v>
      </c>
      <c r="H195">
        <f ca="1" t="shared" ref="H195:H258" si="38">$C195*RANDBETWEEN(40000,50000)/20000</f>
        <v>0.80806038768</v>
      </c>
      <c r="I195">
        <f ca="1" t="shared" ref="I195:I258" si="39">ROUND($C195*RANDBETWEEN(20000,30000)/5,0)</f>
        <v>1523</v>
      </c>
      <c r="J195">
        <f ca="1" t="shared" ref="J195:J258" si="40">IF(B195&lt;2015,ROUND($C195*RANDBETWEEN(10000,20000)/100,0),IF(B195&lt;2018,ROUND($C195*RANDBETWEEN(10000,20000)/70,0),ROUND($C195*RANDBETWEEN(10000,20000)/20,0)))</f>
        <v>45</v>
      </c>
      <c r="K195">
        <f ca="1" t="shared" ref="K195:K258" si="41">ROUND($C195*RANDBETWEEN(10000,20000)*6,0)</f>
        <v>27085</v>
      </c>
      <c r="L195">
        <f ca="1" t="shared" ref="L195:L258" si="42">ROUND($C195*RANDBETWEEN(10000,20000)*1,0)</f>
        <v>4169</v>
      </c>
      <c r="M195">
        <f ca="1" t="shared" ref="M195:M258" si="43">$C195*RANDBETWEEN(50000,60000)/700000</f>
        <v>0.025023778416</v>
      </c>
    </row>
    <row r="196" spans="1:13">
      <c r="A196" t="str">
        <f ca="1">OFFSET($N$2,(ROW(196:196)-2)/35,0)</f>
        <v>辽宁省</v>
      </c>
      <c r="B196">
        <f ca="1">OFFSET($O$1,0,MOD(ROW(196:196)-2,35))</f>
        <v>2009</v>
      </c>
      <c r="C196">
        <f ca="1" t="shared" si="33"/>
        <v>0.339822</v>
      </c>
      <c r="D196">
        <f ca="1" t="shared" si="34"/>
        <v>6</v>
      </c>
      <c r="E196">
        <f ca="1" t="shared" si="35"/>
        <v>2</v>
      </c>
      <c r="F196">
        <f ca="1" t="shared" si="36"/>
        <v>0.6044980284</v>
      </c>
      <c r="G196">
        <f ca="1" t="shared" si="37"/>
        <v>0.07471836225</v>
      </c>
      <c r="H196">
        <f ca="1" t="shared" si="38"/>
        <v>0.738773028</v>
      </c>
      <c r="I196">
        <f ca="1" t="shared" si="39"/>
        <v>1928</v>
      </c>
      <c r="J196">
        <f ca="1" t="shared" si="40"/>
        <v>40</v>
      </c>
      <c r="K196">
        <f ca="1" t="shared" si="41"/>
        <v>34937</v>
      </c>
      <c r="L196">
        <f ca="1" t="shared" si="42"/>
        <v>5977</v>
      </c>
      <c r="M196">
        <f ca="1" t="shared" si="43"/>
        <v>0.0269236116</v>
      </c>
    </row>
    <row r="197" spans="1:13">
      <c r="A197" t="str">
        <f ca="1">OFFSET($N$2,(ROW(197:197)-2)/35,0)</f>
        <v>辽宁省</v>
      </c>
      <c r="B197">
        <f ca="1">OFFSET($O$1,0,MOD(ROW(197:197)-2,35))</f>
        <v>2010</v>
      </c>
      <c r="C197">
        <f ca="1" t="shared" si="33"/>
        <v>0.3305988</v>
      </c>
      <c r="D197">
        <f ca="1" t="shared" si="34"/>
        <v>6</v>
      </c>
      <c r="E197">
        <f ca="1" t="shared" si="35"/>
        <v>2</v>
      </c>
      <c r="F197">
        <f ca="1" t="shared" si="36"/>
        <v>0.6397637778</v>
      </c>
      <c r="G197">
        <f ca="1" t="shared" si="37"/>
        <v>0.067397524362</v>
      </c>
      <c r="H197">
        <f ca="1" t="shared" si="38"/>
        <v>0.78072559614</v>
      </c>
      <c r="I197">
        <f ca="1" t="shared" si="39"/>
        <v>1686</v>
      </c>
      <c r="J197">
        <f ca="1" t="shared" si="40"/>
        <v>45</v>
      </c>
      <c r="K197">
        <f ca="1" t="shared" si="41"/>
        <v>35849</v>
      </c>
      <c r="L197">
        <f ca="1" t="shared" si="42"/>
        <v>4689</v>
      </c>
      <c r="M197">
        <f ca="1" t="shared" si="43"/>
        <v>0.026010096732</v>
      </c>
    </row>
    <row r="198" spans="1:13">
      <c r="A198" t="str">
        <f ca="1">OFFSET($N$2,(ROW(198:198)-2)/35,0)</f>
        <v>辽宁省</v>
      </c>
      <c r="B198">
        <f ca="1">OFFSET($O$1,0,MOD(ROW(198:198)-2,35))</f>
        <v>2011</v>
      </c>
      <c r="C198">
        <f ca="1" t="shared" si="33"/>
        <v>0.3589614</v>
      </c>
      <c r="D198">
        <f ca="1" t="shared" si="34"/>
        <v>6</v>
      </c>
      <c r="E198">
        <f ca="1" t="shared" si="35"/>
        <v>2</v>
      </c>
      <c r="F198">
        <f ca="1" t="shared" si="36"/>
        <v>0.62325271344</v>
      </c>
      <c r="G198">
        <f ca="1" t="shared" si="37"/>
        <v>0.083363400729</v>
      </c>
      <c r="H198">
        <f ca="1" t="shared" si="38"/>
        <v>0.81290398644</v>
      </c>
      <c r="I198">
        <f ca="1" t="shared" si="39"/>
        <v>1991</v>
      </c>
      <c r="J198">
        <f ca="1" t="shared" si="40"/>
        <v>71</v>
      </c>
      <c r="K198">
        <f ca="1" t="shared" si="41"/>
        <v>28509</v>
      </c>
      <c r="L198">
        <f ca="1" t="shared" si="42"/>
        <v>4698</v>
      </c>
      <c r="M198">
        <f ca="1" t="shared" si="43"/>
        <v>0.028559994588</v>
      </c>
    </row>
    <row r="199" spans="1:13">
      <c r="A199" t="str">
        <f ca="1">OFFSET($N$2,(ROW(199:199)-2)/35,0)</f>
        <v>辽宁省</v>
      </c>
      <c r="B199">
        <f ca="1">OFFSET($O$1,0,MOD(ROW(199:199)-2,35))</f>
        <v>2012</v>
      </c>
      <c r="C199">
        <f ca="1" t="shared" si="33"/>
        <v>0.3721536</v>
      </c>
      <c r="D199">
        <f ca="1" t="shared" si="34"/>
        <v>7</v>
      </c>
      <c r="E199">
        <f ca="1" t="shared" si="35"/>
        <v>2</v>
      </c>
      <c r="F199">
        <f ca="1" t="shared" si="36"/>
        <v>0.66284277696</v>
      </c>
      <c r="G199">
        <f ca="1" t="shared" si="37"/>
        <v>0.077285138112</v>
      </c>
      <c r="H199">
        <f ca="1" t="shared" si="38"/>
        <v>0.7790105232</v>
      </c>
      <c r="I199">
        <f ca="1" t="shared" si="39"/>
        <v>2061</v>
      </c>
      <c r="J199">
        <f ca="1" t="shared" si="40"/>
        <v>41</v>
      </c>
      <c r="K199">
        <f ca="1" t="shared" si="41"/>
        <v>37605</v>
      </c>
      <c r="L199">
        <f ca="1" t="shared" si="42"/>
        <v>7181</v>
      </c>
      <c r="M199">
        <f ca="1" t="shared" si="43"/>
        <v>0.026897135616</v>
      </c>
    </row>
    <row r="200" spans="1:13">
      <c r="A200" t="str">
        <f ca="1">OFFSET($N$2,(ROW(200:200)-2)/35,0)</f>
        <v>辽宁省</v>
      </c>
      <c r="B200">
        <f ca="1">OFFSET($O$1,0,MOD(ROW(200:200)-2,35))</f>
        <v>2013</v>
      </c>
      <c r="C200">
        <f ca="1" t="shared" si="33"/>
        <v>0.36762264</v>
      </c>
      <c r="D200">
        <f ca="1" t="shared" si="34"/>
        <v>7</v>
      </c>
      <c r="E200">
        <f ca="1" t="shared" si="35"/>
        <v>2</v>
      </c>
      <c r="F200">
        <f ca="1" t="shared" si="36"/>
        <v>0.733603232208</v>
      </c>
      <c r="G200">
        <f ca="1" t="shared" si="37"/>
        <v>0.0836267981472</v>
      </c>
      <c r="H200">
        <f ca="1" t="shared" si="38"/>
        <v>0.830588211684</v>
      </c>
      <c r="I200">
        <f ca="1" t="shared" si="39"/>
        <v>2120</v>
      </c>
      <c r="J200">
        <f ca="1" t="shared" si="40"/>
        <v>37</v>
      </c>
      <c r="K200">
        <f ca="1" t="shared" si="41"/>
        <v>24431</v>
      </c>
      <c r="L200">
        <f ca="1" t="shared" si="42"/>
        <v>5615</v>
      </c>
      <c r="M200">
        <f ca="1" t="shared" si="43"/>
        <v>0.0267912876528</v>
      </c>
    </row>
    <row r="201" spans="1:13">
      <c r="A201" t="str">
        <f ca="1">OFFSET($N$2,(ROW(201:201)-2)/35,0)</f>
        <v>辽宁省</v>
      </c>
      <c r="B201">
        <f ca="1">OFFSET($O$1,0,MOD(ROW(201:201)-2,35))</f>
        <v>2014</v>
      </c>
      <c r="C201">
        <f ca="1" t="shared" si="33"/>
        <v>0.38981544</v>
      </c>
      <c r="D201">
        <f ca="1" t="shared" si="34"/>
        <v>7</v>
      </c>
      <c r="E201">
        <f ca="1" t="shared" si="35"/>
        <v>2</v>
      </c>
      <c r="F201">
        <f ca="1" t="shared" si="36"/>
        <v>0.755514298112</v>
      </c>
      <c r="G201">
        <f ca="1" t="shared" si="37"/>
        <v>0.079493113602</v>
      </c>
      <c r="H201">
        <f ca="1" t="shared" si="38"/>
        <v>0.9316589016</v>
      </c>
      <c r="I201">
        <f ca="1" t="shared" si="39"/>
        <v>1783</v>
      </c>
      <c r="J201">
        <f ca="1" t="shared" si="40"/>
        <v>40</v>
      </c>
      <c r="K201">
        <f ca="1" t="shared" si="41"/>
        <v>37198</v>
      </c>
      <c r="L201">
        <f ca="1" t="shared" si="42"/>
        <v>4139</v>
      </c>
      <c r="M201">
        <f ca="1" t="shared" si="43"/>
        <v>0.0313534127184</v>
      </c>
    </row>
    <row r="202" spans="1:13">
      <c r="A202" t="str">
        <f ca="1">OFFSET($N$2,(ROW(202:202)-2)/35,0)</f>
        <v>辽宁省</v>
      </c>
      <c r="B202">
        <f ca="1">OFFSET($O$1,0,MOD(ROW(202:202)-2,35))</f>
        <v>2015</v>
      </c>
      <c r="C202">
        <f ca="1" t="shared" si="33"/>
        <v>0.4110708</v>
      </c>
      <c r="D202">
        <f ca="1" t="shared" si="34"/>
        <v>8</v>
      </c>
      <c r="E202">
        <f ca="1" t="shared" si="35"/>
        <v>2</v>
      </c>
      <c r="F202">
        <f ca="1" t="shared" si="36"/>
        <v>0.82081247108</v>
      </c>
      <c r="G202">
        <f ca="1" t="shared" si="37"/>
        <v>0.098747427576</v>
      </c>
      <c r="H202">
        <f ca="1" t="shared" si="38"/>
        <v>0.88036977882</v>
      </c>
      <c r="I202">
        <f ca="1" t="shared" si="39"/>
        <v>2133</v>
      </c>
      <c r="J202">
        <f ca="1" t="shared" si="40"/>
        <v>78</v>
      </c>
      <c r="K202">
        <f ca="1" t="shared" si="41"/>
        <v>35371</v>
      </c>
      <c r="L202">
        <f ca="1" t="shared" si="42"/>
        <v>7834</v>
      </c>
      <c r="M202">
        <f ca="1" t="shared" si="43"/>
        <v>0.032808147792</v>
      </c>
    </row>
    <row r="203" spans="1:13">
      <c r="A203" t="str">
        <f ca="1">OFFSET($N$2,(ROW(203:203)-2)/35,0)</f>
        <v>辽宁省</v>
      </c>
      <c r="B203">
        <f ca="1">OFFSET($O$1,0,MOD(ROW(203:203)-2,35))</f>
        <v>2016</v>
      </c>
      <c r="C203">
        <f ca="1" t="shared" si="33"/>
        <v>0.42266448</v>
      </c>
      <c r="D203">
        <f ca="1" t="shared" si="34"/>
        <v>8</v>
      </c>
      <c r="E203">
        <f ca="1" t="shared" si="35"/>
        <v>3</v>
      </c>
      <c r="F203">
        <f ca="1" t="shared" si="36"/>
        <v>0.7213473792</v>
      </c>
      <c r="G203">
        <f ca="1" t="shared" si="37"/>
        <v>0.0887003677728</v>
      </c>
      <c r="H203">
        <f ca="1" t="shared" si="38"/>
        <v>1.005349732128</v>
      </c>
      <c r="I203">
        <f ca="1" t="shared" si="39"/>
        <v>1847</v>
      </c>
      <c r="J203">
        <f ca="1" t="shared" si="40"/>
        <v>107</v>
      </c>
      <c r="K203">
        <f ca="1" t="shared" si="41"/>
        <v>32932</v>
      </c>
      <c r="L203">
        <f ca="1" t="shared" si="42"/>
        <v>4593</v>
      </c>
      <c r="M203">
        <f ca="1" t="shared" si="43"/>
        <v>0.0307355571792</v>
      </c>
    </row>
    <row r="204" spans="1:13">
      <c r="A204" t="str">
        <f ca="1">OFFSET($N$2,(ROW(204:204)-2)/35,0)</f>
        <v>辽宁省</v>
      </c>
      <c r="B204">
        <f ca="1">OFFSET($O$1,0,MOD(ROW(204:204)-2,35))</f>
        <v>2017</v>
      </c>
      <c r="C204">
        <f ca="1" t="shared" si="33"/>
        <v>0.41420316</v>
      </c>
      <c r="D204">
        <f ca="1" t="shared" si="34"/>
        <v>8</v>
      </c>
      <c r="E204">
        <f ca="1" t="shared" si="35"/>
        <v>3</v>
      </c>
      <c r="F204">
        <f ca="1" t="shared" si="36"/>
        <v>0.804479184124</v>
      </c>
      <c r="G204">
        <f ca="1" t="shared" si="37"/>
        <v>0.08977853493</v>
      </c>
      <c r="H204">
        <f ca="1" t="shared" si="38"/>
        <v>0.899214350202</v>
      </c>
      <c r="I204">
        <f ca="1" t="shared" si="39"/>
        <v>2393</v>
      </c>
      <c r="J204">
        <f ca="1" t="shared" si="40"/>
        <v>87</v>
      </c>
      <c r="K204">
        <f ca="1" t="shared" si="41"/>
        <v>32924</v>
      </c>
      <c r="L204">
        <f ca="1" t="shared" si="42"/>
        <v>6201</v>
      </c>
      <c r="M204">
        <f ca="1" t="shared" si="43"/>
        <v>0.0325995638484</v>
      </c>
    </row>
    <row r="205" spans="1:13">
      <c r="A205" t="str">
        <f ca="1">OFFSET($N$2,(ROW(205:205)-2)/35,0)</f>
        <v>辽宁省</v>
      </c>
      <c r="B205">
        <f ca="1">OFFSET($O$1,0,MOD(ROW(205:205)-2,35))</f>
        <v>2018</v>
      </c>
      <c r="C205">
        <f ca="1" t="shared" si="33"/>
        <v>0.43672944</v>
      </c>
      <c r="D205">
        <f ca="1" t="shared" si="34"/>
        <v>8</v>
      </c>
      <c r="E205">
        <f ca="1" t="shared" si="35"/>
        <v>3</v>
      </c>
      <c r="F205">
        <f ca="1" t="shared" si="36"/>
        <v>0.851520504464</v>
      </c>
      <c r="G205">
        <f ca="1" t="shared" si="37"/>
        <v>0.0927001909344</v>
      </c>
      <c r="H205">
        <f ca="1" t="shared" si="38"/>
        <v>1.053216717504</v>
      </c>
      <c r="I205">
        <f ca="1" t="shared" si="39"/>
        <v>2278</v>
      </c>
      <c r="J205">
        <f ca="1" t="shared" si="40"/>
        <v>241</v>
      </c>
      <c r="K205">
        <f ca="1" t="shared" si="41"/>
        <v>51894</v>
      </c>
      <c r="L205">
        <f ca="1" t="shared" si="42"/>
        <v>4579</v>
      </c>
      <c r="M205">
        <f ca="1" t="shared" si="43"/>
        <v>0.0355266921456</v>
      </c>
    </row>
    <row r="206" spans="1:13">
      <c r="A206" t="str">
        <f ca="1">OFFSET($N$2,(ROW(206:206)-2)/35,0)</f>
        <v>辽宁省</v>
      </c>
      <c r="B206">
        <f ca="1">OFFSET($O$1,0,MOD(ROW(206:206)-2,35))</f>
        <v>2019</v>
      </c>
      <c r="C206">
        <f ca="1" t="shared" si="33"/>
        <v>0.45379152</v>
      </c>
      <c r="D206">
        <f ca="1" t="shared" si="34"/>
        <v>8</v>
      </c>
      <c r="E206">
        <f ca="1" t="shared" si="35"/>
        <v>3</v>
      </c>
      <c r="F206">
        <f ca="1" t="shared" si="36"/>
        <v>0.771082550784</v>
      </c>
      <c r="G206">
        <f ca="1" t="shared" si="37"/>
        <v>0.106890592536</v>
      </c>
      <c r="H206">
        <f ca="1" t="shared" si="38"/>
        <v>1.033600945104</v>
      </c>
      <c r="I206">
        <f ca="1" t="shared" si="39"/>
        <v>1884</v>
      </c>
      <c r="J206">
        <f ca="1" t="shared" si="40"/>
        <v>232</v>
      </c>
      <c r="K206">
        <f ca="1" t="shared" si="41"/>
        <v>49900</v>
      </c>
      <c r="L206">
        <f ca="1" t="shared" si="42"/>
        <v>5795</v>
      </c>
      <c r="M206">
        <f ca="1" t="shared" si="43"/>
        <v>0.0362300666832</v>
      </c>
    </row>
    <row r="207" spans="1:13">
      <c r="A207" t="str">
        <f ca="1">OFFSET($N$2,(ROW(207:207)-2)/35,0)</f>
        <v>辽宁省</v>
      </c>
      <c r="B207">
        <f ca="1">OFFSET($O$1,0,MOD(ROW(207:207)-2,35))</f>
        <v>2020</v>
      </c>
      <c r="C207">
        <f ca="1" t="shared" si="33"/>
        <v>0.4413024</v>
      </c>
      <c r="D207">
        <f ca="1" t="shared" si="34"/>
        <v>8</v>
      </c>
      <c r="E207">
        <f ca="1" t="shared" si="35"/>
        <v>3</v>
      </c>
      <c r="F207">
        <f ca="1" t="shared" si="36"/>
        <v>0.79965465888</v>
      </c>
      <c r="G207">
        <f ca="1" t="shared" si="37"/>
        <v>0.088350946992</v>
      </c>
      <c r="H207">
        <f ca="1" t="shared" si="38"/>
        <v>0.9244182024</v>
      </c>
      <c r="I207">
        <f ca="1" t="shared" si="39"/>
        <v>2485</v>
      </c>
      <c r="J207">
        <f ca="1" t="shared" si="40"/>
        <v>266</v>
      </c>
      <c r="K207">
        <f ca="1" t="shared" si="41"/>
        <v>39505</v>
      </c>
      <c r="L207">
        <f ca="1" t="shared" si="42"/>
        <v>6350</v>
      </c>
      <c r="M207">
        <f ca="1" t="shared" si="43"/>
        <v>0.03218670576</v>
      </c>
    </row>
    <row r="208" spans="1:13">
      <c r="A208" t="str">
        <f ca="1">OFFSET($N$2,(ROW(208:208)-2)/35,0)</f>
        <v>辽宁省</v>
      </c>
      <c r="B208">
        <f ca="1">OFFSET($O$1,0,MOD(ROW(208:208)-2,35))</f>
        <v>2021</v>
      </c>
      <c r="C208">
        <f ca="1" t="shared" si="33"/>
        <v>0.4732056</v>
      </c>
      <c r="D208">
        <f ca="1" t="shared" si="34"/>
        <v>8</v>
      </c>
      <c r="E208">
        <f ca="1" t="shared" si="35"/>
        <v>3</v>
      </c>
      <c r="F208">
        <f ca="1" t="shared" si="36"/>
        <v>0.8878125732</v>
      </c>
      <c r="G208">
        <f ca="1" t="shared" si="37"/>
        <v>0.098310829428</v>
      </c>
      <c r="H208">
        <f ca="1" t="shared" si="38"/>
        <v>1.0802100834</v>
      </c>
      <c r="I208">
        <f ca="1" t="shared" si="39"/>
        <v>2426</v>
      </c>
      <c r="J208">
        <f ca="1" t="shared" si="40"/>
        <v>280</v>
      </c>
      <c r="K208">
        <f ca="1" t="shared" si="41"/>
        <v>42035</v>
      </c>
      <c r="L208">
        <f ca="1" t="shared" si="42"/>
        <v>8742</v>
      </c>
      <c r="M208">
        <f ca="1" t="shared" si="43"/>
        <v>0.036547696512</v>
      </c>
    </row>
    <row r="209" spans="1:13">
      <c r="A209" t="str">
        <f ca="1">OFFSET($N$2,(ROW(209:209)-2)/35,0)</f>
        <v>辽宁省</v>
      </c>
      <c r="B209">
        <f ca="1">OFFSET($O$1,0,MOD(ROW(209:209)-2,35))</f>
        <v>2022</v>
      </c>
      <c r="C209">
        <f ca="1" t="shared" si="33"/>
        <v>0.46054512</v>
      </c>
      <c r="D209">
        <f ca="1" t="shared" si="34"/>
        <v>8</v>
      </c>
      <c r="E209">
        <f ca="1" t="shared" si="35"/>
        <v>3</v>
      </c>
      <c r="F209">
        <f ca="1" t="shared" si="36"/>
        <v>0.912201719184</v>
      </c>
      <c r="G209">
        <f ca="1" t="shared" si="37"/>
        <v>0.1044654495696</v>
      </c>
      <c r="H209">
        <f ca="1" t="shared" si="38"/>
        <v>1.149014019888</v>
      </c>
      <c r="I209">
        <f ca="1" t="shared" si="39"/>
        <v>2736</v>
      </c>
      <c r="J209">
        <f ca="1" t="shared" si="40"/>
        <v>376</v>
      </c>
      <c r="K209">
        <f ca="1" t="shared" si="41"/>
        <v>41651</v>
      </c>
      <c r="L209">
        <f ca="1" t="shared" si="42"/>
        <v>7909</v>
      </c>
      <c r="M209">
        <f ca="1" t="shared" si="43"/>
        <v>0.0356764566816</v>
      </c>
    </row>
    <row r="210" spans="1:13">
      <c r="A210" t="str">
        <f ca="1">OFFSET($N$2,(ROW(210:210)-2)/35,0)</f>
        <v>辽宁省</v>
      </c>
      <c r="B210">
        <f ca="1">OFFSET($O$1,0,MOD(ROW(210:210)-2,35))</f>
        <v>2023</v>
      </c>
      <c r="C210">
        <f ca="1" t="shared" si="33"/>
        <v>0.49054572</v>
      </c>
      <c r="D210">
        <f ca="1" t="shared" si="34"/>
        <v>8</v>
      </c>
      <c r="E210">
        <f ca="1" t="shared" si="35"/>
        <v>3</v>
      </c>
      <c r="F210">
        <f ca="1" t="shared" si="36"/>
        <v>0.929764006164</v>
      </c>
      <c r="G210">
        <f ca="1" t="shared" si="37"/>
        <v>0.121005365481</v>
      </c>
      <c r="H210">
        <f ca="1" t="shared" si="38"/>
        <v>1.19018655315</v>
      </c>
      <c r="I210">
        <f ca="1" t="shared" si="39"/>
        <v>2137</v>
      </c>
      <c r="J210">
        <f ca="1" t="shared" si="40"/>
        <v>377</v>
      </c>
      <c r="K210">
        <f ca="1" t="shared" si="41"/>
        <v>42936</v>
      </c>
      <c r="L210">
        <f ca="1" t="shared" si="42"/>
        <v>9658</v>
      </c>
      <c r="M210">
        <f ca="1" t="shared" si="43"/>
        <v>0.0383929111656</v>
      </c>
    </row>
    <row r="211" spans="1:13">
      <c r="A211" t="str">
        <f ca="1">OFFSET($N$2,(ROW(211:211)-2)/35,0)</f>
        <v>辽宁省</v>
      </c>
      <c r="B211">
        <f ca="1">OFFSET($O$1,0,MOD(ROW(211:211)-2,35))</f>
        <v>2024</v>
      </c>
      <c r="C211">
        <f ca="1" t="shared" si="33"/>
        <v>0.4862088</v>
      </c>
      <c r="D211">
        <f ca="1" t="shared" si="34"/>
        <v>8</v>
      </c>
      <c r="E211">
        <f ca="1" t="shared" si="35"/>
        <v>3</v>
      </c>
      <c r="F211">
        <f ca="1" t="shared" si="36"/>
        <v>0.87729895176</v>
      </c>
      <c r="G211">
        <f ca="1" t="shared" si="37"/>
        <v>0.110921244588</v>
      </c>
      <c r="H211">
        <f ca="1" t="shared" si="38"/>
        <v>0.9879762816</v>
      </c>
      <c r="I211">
        <f ca="1" t="shared" si="39"/>
        <v>2191</v>
      </c>
      <c r="J211">
        <f ca="1" t="shared" si="40"/>
        <v>350</v>
      </c>
      <c r="K211">
        <f ca="1" t="shared" si="41"/>
        <v>31891</v>
      </c>
      <c r="L211">
        <f ca="1" t="shared" si="42"/>
        <v>5863</v>
      </c>
      <c r="M211">
        <f ca="1" t="shared" si="43"/>
        <v>0.040524114312</v>
      </c>
    </row>
    <row r="212" spans="1:13">
      <c r="A212" t="str">
        <f ca="1">OFFSET($N$2,(ROW(212:212)-2)/35,0)</f>
        <v>吉林省</v>
      </c>
      <c r="B212">
        <f ca="1">OFFSET($O$1,0,MOD(ROW(212:212)-2,35))</f>
        <v>1990</v>
      </c>
      <c r="C212">
        <f ca="1" t="shared" si="33"/>
        <v>0.0905688</v>
      </c>
      <c r="D212">
        <f ca="1" t="shared" si="34"/>
        <v>3</v>
      </c>
      <c r="E212">
        <f ca="1" t="shared" si="35"/>
        <v>0</v>
      </c>
      <c r="F212">
        <f ca="1" t="shared" si="36"/>
        <v>0.17489137176</v>
      </c>
      <c r="G212">
        <f ca="1" t="shared" si="37"/>
        <v>0.018651738672</v>
      </c>
      <c r="H212">
        <f ca="1" t="shared" si="38"/>
        <v>0.20478511368</v>
      </c>
      <c r="I212">
        <f ca="1" t="shared" si="39"/>
        <v>403</v>
      </c>
      <c r="J212">
        <f ca="1" t="shared" si="40"/>
        <v>17</v>
      </c>
      <c r="K212">
        <f ca="1" t="shared" si="41"/>
        <v>5991</v>
      </c>
      <c r="L212">
        <f ca="1" t="shared" si="42"/>
        <v>1094</v>
      </c>
      <c r="M212">
        <f ca="1" t="shared" si="43"/>
        <v>0.006798094128</v>
      </c>
    </row>
    <row r="213" spans="1:13">
      <c r="A213" t="str">
        <f ca="1">OFFSET($N$2,(ROW(213:213)-2)/35,0)</f>
        <v>吉林省</v>
      </c>
      <c r="B213">
        <f ca="1">OFFSET($O$1,0,MOD(ROW(213:213)-2,35))</f>
        <v>1991</v>
      </c>
      <c r="C213">
        <f ca="1" t="shared" si="33"/>
        <v>0.097713</v>
      </c>
      <c r="D213">
        <f ca="1" t="shared" si="34"/>
        <v>4</v>
      </c>
      <c r="E213">
        <f ca="1" t="shared" si="35"/>
        <v>0</v>
      </c>
      <c r="F213">
        <f ca="1" t="shared" si="36"/>
        <v>0.1828763937</v>
      </c>
      <c r="G213">
        <f ca="1" t="shared" si="37"/>
        <v>0.02162779542</v>
      </c>
      <c r="H213">
        <f ca="1" t="shared" si="38"/>
        <v>0.19569471075</v>
      </c>
      <c r="I213">
        <f ca="1" t="shared" si="39"/>
        <v>585</v>
      </c>
      <c r="J213">
        <f ca="1" t="shared" si="40"/>
        <v>14</v>
      </c>
      <c r="K213">
        <f ca="1" t="shared" si="41"/>
        <v>6395</v>
      </c>
      <c r="L213">
        <f ca="1" t="shared" si="42"/>
        <v>1575</v>
      </c>
      <c r="M213">
        <f ca="1" t="shared" si="43"/>
        <v>0.00720549621</v>
      </c>
    </row>
    <row r="214" spans="1:13">
      <c r="A214" t="str">
        <f ca="1">OFFSET($N$2,(ROW(214:214)-2)/35,0)</f>
        <v>吉林省</v>
      </c>
      <c r="B214">
        <f ca="1">OFFSET($O$1,0,MOD(ROW(214:214)-2,35))</f>
        <v>1992</v>
      </c>
      <c r="C214">
        <f ca="1" t="shared" si="33"/>
        <v>0.10290672</v>
      </c>
      <c r="D214">
        <f ca="1" t="shared" si="34"/>
        <v>4</v>
      </c>
      <c r="E214">
        <f ca="1" t="shared" si="35"/>
        <v>0</v>
      </c>
      <c r="F214">
        <f ca="1" t="shared" si="36"/>
        <v>0.181400535792</v>
      </c>
      <c r="G214">
        <f ca="1" t="shared" si="37"/>
        <v>0.0224496155016</v>
      </c>
      <c r="H214">
        <f ca="1" t="shared" si="38"/>
        <v>0.228905707968</v>
      </c>
      <c r="I214">
        <f ca="1" t="shared" si="39"/>
        <v>561</v>
      </c>
      <c r="J214">
        <f ca="1" t="shared" si="40"/>
        <v>14</v>
      </c>
      <c r="K214">
        <f ca="1" t="shared" si="41"/>
        <v>6575</v>
      </c>
      <c r="L214">
        <f ca="1" t="shared" si="42"/>
        <v>1537</v>
      </c>
      <c r="M214">
        <f ca="1" t="shared" si="43"/>
        <v>0.0086016787056</v>
      </c>
    </row>
    <row r="215" spans="1:13">
      <c r="A215" t="str">
        <f ca="1">OFFSET($N$2,(ROW(215:215)-2)/35,0)</f>
        <v>吉林省</v>
      </c>
      <c r="B215">
        <f ca="1">OFFSET($O$1,0,MOD(ROW(215:215)-2,35))</f>
        <v>1993</v>
      </c>
      <c r="C215">
        <f ca="1" t="shared" si="33"/>
        <v>0.11043396</v>
      </c>
      <c r="D215">
        <f ca="1" t="shared" si="34"/>
        <v>4</v>
      </c>
      <c r="E215">
        <f ca="1" t="shared" si="35"/>
        <v>0</v>
      </c>
      <c r="F215">
        <f ca="1" t="shared" si="36"/>
        <v>0.197139343128</v>
      </c>
      <c r="G215">
        <f ca="1" t="shared" si="37"/>
        <v>0.0240398165826</v>
      </c>
      <c r="H215">
        <f ca="1" t="shared" si="38"/>
        <v>0.271700671788</v>
      </c>
      <c r="I215">
        <f ca="1" t="shared" si="39"/>
        <v>591</v>
      </c>
      <c r="J215">
        <f ca="1" t="shared" si="40"/>
        <v>13</v>
      </c>
      <c r="K215">
        <f ca="1" t="shared" si="41"/>
        <v>9308</v>
      </c>
      <c r="L215">
        <f ca="1" t="shared" si="42"/>
        <v>2081</v>
      </c>
      <c r="M215">
        <f ca="1" t="shared" si="43"/>
        <v>0.0079908435828</v>
      </c>
    </row>
    <row r="216" spans="1:13">
      <c r="A216" t="str">
        <f ca="1">OFFSET($N$2,(ROW(216:216)-2)/35,0)</f>
        <v>吉林省</v>
      </c>
      <c r="B216">
        <f ca="1">OFFSET($O$1,0,MOD(ROW(216:216)-2,35))</f>
        <v>1994</v>
      </c>
      <c r="C216">
        <f ca="1" t="shared" si="33"/>
        <v>0.12437376</v>
      </c>
      <c r="D216">
        <f ca="1" t="shared" si="34"/>
        <v>4</v>
      </c>
      <c r="E216">
        <f ca="1" t="shared" si="35"/>
        <v>0</v>
      </c>
      <c r="F216">
        <f ca="1" t="shared" si="36"/>
        <v>0.23732586304</v>
      </c>
      <c r="G216">
        <f ca="1" t="shared" si="37"/>
        <v>0.0282197842752</v>
      </c>
      <c r="H216">
        <f ca="1" t="shared" si="38"/>
        <v>0.251527273536</v>
      </c>
      <c r="I216">
        <f ca="1" t="shared" si="39"/>
        <v>680</v>
      </c>
      <c r="J216">
        <f ca="1" t="shared" si="40"/>
        <v>25</v>
      </c>
      <c r="K216">
        <f ca="1" t="shared" si="41"/>
        <v>14505</v>
      </c>
      <c r="L216">
        <f ca="1" t="shared" si="42"/>
        <v>1887</v>
      </c>
      <c r="M216">
        <f ca="1" t="shared" si="43"/>
        <v>0.0105355235328</v>
      </c>
    </row>
    <row r="217" spans="1:13">
      <c r="A217" t="str">
        <f ca="1">OFFSET($N$2,(ROW(217:217)-2)/35,0)</f>
        <v>吉林省</v>
      </c>
      <c r="B217">
        <f ca="1">OFFSET($O$1,0,MOD(ROW(217:217)-2,35))</f>
        <v>1995</v>
      </c>
      <c r="C217">
        <f ca="1" t="shared" si="33"/>
        <v>0.1260126</v>
      </c>
      <c r="D217">
        <f ca="1" t="shared" si="34"/>
        <v>4</v>
      </c>
      <c r="E217">
        <f ca="1" t="shared" si="35"/>
        <v>0</v>
      </c>
      <c r="F217">
        <f ca="1" t="shared" si="36"/>
        <v>0.22956555426</v>
      </c>
      <c r="G217">
        <f ca="1" t="shared" si="37"/>
        <v>0.027574077132</v>
      </c>
      <c r="H217">
        <f ca="1" t="shared" si="38"/>
        <v>0.25291358883</v>
      </c>
      <c r="I217">
        <f ca="1" t="shared" si="39"/>
        <v>684</v>
      </c>
      <c r="J217">
        <f ca="1" t="shared" si="40"/>
        <v>24</v>
      </c>
      <c r="K217">
        <f ca="1" t="shared" si="41"/>
        <v>11545</v>
      </c>
      <c r="L217">
        <f ca="1" t="shared" si="42"/>
        <v>2119</v>
      </c>
      <c r="M217">
        <f ca="1" t="shared" si="43"/>
        <v>0.009745634466</v>
      </c>
    </row>
    <row r="218" spans="1:13">
      <c r="A218" t="str">
        <f ca="1">OFFSET($N$2,(ROW(218:218)-2)/35,0)</f>
        <v>吉林省</v>
      </c>
      <c r="B218">
        <f ca="1">OFFSET($O$1,0,MOD(ROW(218:218)-2,35))</f>
        <v>1996</v>
      </c>
      <c r="C218">
        <f ca="1" t="shared" si="33"/>
        <v>0.14317632</v>
      </c>
      <c r="D218">
        <f ca="1" t="shared" si="34"/>
        <v>4</v>
      </c>
      <c r="E218">
        <f ca="1" t="shared" si="35"/>
        <v>0</v>
      </c>
      <c r="F218">
        <f ca="1" t="shared" si="36"/>
        <v>0.256877408256</v>
      </c>
      <c r="G218">
        <f ca="1" t="shared" si="37"/>
        <v>0.031452258096</v>
      </c>
      <c r="H218">
        <f ca="1" t="shared" si="38"/>
        <v>0.299195555904</v>
      </c>
      <c r="I218">
        <f ca="1" t="shared" si="39"/>
        <v>659</v>
      </c>
      <c r="J218">
        <f ca="1" t="shared" si="40"/>
        <v>23</v>
      </c>
      <c r="K218">
        <f ca="1" t="shared" si="41"/>
        <v>12561</v>
      </c>
      <c r="L218">
        <f ca="1" t="shared" si="42"/>
        <v>1859</v>
      </c>
      <c r="M218">
        <f ca="1" t="shared" si="43"/>
        <v>0.0105731621568</v>
      </c>
    </row>
    <row r="219" spans="1:13">
      <c r="A219" t="str">
        <f ca="1">OFFSET($N$2,(ROW(219:219)-2)/35,0)</f>
        <v>吉林省</v>
      </c>
      <c r="B219">
        <f ca="1">OFFSET($O$1,0,MOD(ROW(219:219)-2,35))</f>
        <v>1997</v>
      </c>
      <c r="C219">
        <f ca="1" t="shared" si="33"/>
        <v>0.15311016</v>
      </c>
      <c r="D219">
        <f ca="1" t="shared" si="34"/>
        <v>4</v>
      </c>
      <c r="E219">
        <f ca="1" t="shared" si="35"/>
        <v>0</v>
      </c>
      <c r="F219">
        <f ca="1" t="shared" si="36"/>
        <v>0.266381056368</v>
      </c>
      <c r="G219">
        <f ca="1" t="shared" si="37"/>
        <v>0.0360926580168</v>
      </c>
      <c r="H219">
        <f ca="1" t="shared" si="38"/>
        <v>0.377868219372</v>
      </c>
      <c r="I219">
        <f ca="1" t="shared" si="39"/>
        <v>678</v>
      </c>
      <c r="J219">
        <f ca="1" t="shared" si="40"/>
        <v>22</v>
      </c>
      <c r="K219">
        <f ca="1" t="shared" si="41"/>
        <v>9404</v>
      </c>
      <c r="L219">
        <f ca="1" t="shared" si="42"/>
        <v>3027</v>
      </c>
      <c r="M219">
        <f ca="1" t="shared" si="43"/>
        <v>0.0117208014768</v>
      </c>
    </row>
    <row r="220" spans="1:13">
      <c r="A220" t="str">
        <f ca="1">OFFSET($N$2,(ROW(220:220)-2)/35,0)</f>
        <v>吉林省</v>
      </c>
      <c r="B220">
        <f ca="1">OFFSET($O$1,0,MOD(ROW(220:220)-2,35))</f>
        <v>1998</v>
      </c>
      <c r="C220">
        <f ca="1" t="shared" si="33"/>
        <v>0.16433928</v>
      </c>
      <c r="D220">
        <f ca="1" t="shared" si="34"/>
        <v>4</v>
      </c>
      <c r="E220">
        <f ca="1" t="shared" si="35"/>
        <v>0</v>
      </c>
      <c r="F220">
        <f ca="1" t="shared" si="36"/>
        <v>0.317760953832</v>
      </c>
      <c r="G220">
        <f ca="1" t="shared" si="37"/>
        <v>0.0403058518128</v>
      </c>
      <c r="H220">
        <f ca="1" t="shared" si="38"/>
        <v>0.38747093742</v>
      </c>
      <c r="I220">
        <f ca="1" t="shared" si="39"/>
        <v>763</v>
      </c>
      <c r="J220">
        <f ca="1" t="shared" si="40"/>
        <v>30</v>
      </c>
      <c r="K220">
        <f ca="1" t="shared" si="41"/>
        <v>18557</v>
      </c>
      <c r="L220">
        <f ca="1" t="shared" si="42"/>
        <v>2721</v>
      </c>
      <c r="M220">
        <f ca="1" t="shared" si="43"/>
        <v>0.01369298358</v>
      </c>
    </row>
    <row r="221" spans="1:13">
      <c r="A221" t="str">
        <f ca="1">OFFSET($N$2,(ROW(221:221)-2)/35,0)</f>
        <v>吉林省</v>
      </c>
      <c r="B221">
        <f ca="1">OFFSET($O$1,0,MOD(ROW(221:221)-2,35))</f>
        <v>1999</v>
      </c>
      <c r="C221">
        <f ca="1" t="shared" si="33"/>
        <v>0.16368576</v>
      </c>
      <c r="D221">
        <f ca="1" t="shared" si="34"/>
        <v>4</v>
      </c>
      <c r="E221">
        <f ca="1" t="shared" si="35"/>
        <v>0</v>
      </c>
      <c r="F221">
        <f ca="1" t="shared" si="36"/>
        <v>0.308012950784</v>
      </c>
      <c r="G221">
        <f ca="1" t="shared" si="37"/>
        <v>0.034955094048</v>
      </c>
      <c r="H221">
        <f ca="1" t="shared" si="38"/>
        <v>0.357211434048</v>
      </c>
      <c r="I221">
        <f ca="1" t="shared" si="39"/>
        <v>709</v>
      </c>
      <c r="J221">
        <f ca="1" t="shared" si="40"/>
        <v>17</v>
      </c>
      <c r="K221">
        <f ca="1" t="shared" si="41"/>
        <v>12582</v>
      </c>
      <c r="L221">
        <f ca="1" t="shared" si="42"/>
        <v>2117</v>
      </c>
      <c r="M221">
        <f ca="1" t="shared" si="43"/>
        <v>0.0125930470272</v>
      </c>
    </row>
    <row r="222" spans="1:13">
      <c r="A222" t="str">
        <f ca="1">OFFSET($N$2,(ROW(222:222)-2)/35,0)</f>
        <v>吉林省</v>
      </c>
      <c r="B222">
        <f ca="1">OFFSET($O$1,0,MOD(ROW(222:222)-2,35))</f>
        <v>2000</v>
      </c>
      <c r="C222">
        <f ca="1" t="shared" si="33"/>
        <v>0.17808</v>
      </c>
      <c r="D222">
        <f ca="1" t="shared" si="34"/>
        <v>5</v>
      </c>
      <c r="E222">
        <f ca="1" t="shared" si="35"/>
        <v>0</v>
      </c>
      <c r="F222">
        <f ca="1" t="shared" si="36"/>
        <v>0.306849648</v>
      </c>
      <c r="G222">
        <f ca="1" t="shared" si="37"/>
        <v>0.03675126</v>
      </c>
      <c r="H222">
        <f ca="1" t="shared" si="38"/>
        <v>0.387608928</v>
      </c>
      <c r="I222">
        <f ca="1" t="shared" si="39"/>
        <v>912</v>
      </c>
      <c r="J222">
        <f ca="1" t="shared" si="40"/>
        <v>31</v>
      </c>
      <c r="K222">
        <f ca="1" t="shared" si="41"/>
        <v>18755</v>
      </c>
      <c r="L222">
        <f ca="1" t="shared" si="42"/>
        <v>2340</v>
      </c>
      <c r="M222">
        <f ca="1" t="shared" si="43"/>
        <v>0.0136539024</v>
      </c>
    </row>
    <row r="223" spans="1:13">
      <c r="A223" t="str">
        <f ca="1">OFFSET($N$2,(ROW(223:223)-2)/35,0)</f>
        <v>吉林省</v>
      </c>
      <c r="B223">
        <f ca="1">OFFSET($O$1,0,MOD(ROW(223:223)-2,35))</f>
        <v>2001</v>
      </c>
      <c r="C223">
        <f ca="1" t="shared" si="33"/>
        <v>0.18439092</v>
      </c>
      <c r="D223">
        <f ca="1" t="shared" si="34"/>
        <v>6</v>
      </c>
      <c r="E223">
        <f ca="1" t="shared" si="35"/>
        <v>0</v>
      </c>
      <c r="F223">
        <f ca="1" t="shared" si="36"/>
        <v>0.3440427249</v>
      </c>
      <c r="G223">
        <f ca="1" t="shared" si="37"/>
        <v>0.042718766391</v>
      </c>
      <c r="H223">
        <f ca="1" t="shared" si="38"/>
        <v>0.395066765646</v>
      </c>
      <c r="I223">
        <f ca="1" t="shared" si="39"/>
        <v>861</v>
      </c>
      <c r="J223">
        <f ca="1" t="shared" si="40"/>
        <v>29</v>
      </c>
      <c r="K223">
        <f ca="1" t="shared" si="41"/>
        <v>21619</v>
      </c>
      <c r="L223">
        <f ca="1" t="shared" si="42"/>
        <v>3685</v>
      </c>
      <c r="M223">
        <f ca="1" t="shared" si="43"/>
        <v>0.0152169923808</v>
      </c>
    </row>
    <row r="224" spans="1:13">
      <c r="A224" t="str">
        <f ca="1">OFFSET($N$2,(ROW(224:224)-2)/35,0)</f>
        <v>吉林省</v>
      </c>
      <c r="B224">
        <f ca="1">OFFSET($O$1,0,MOD(ROW(224:224)-2,35))</f>
        <v>2002</v>
      </c>
      <c r="C224">
        <f ca="1" t="shared" si="33"/>
        <v>0.18524352</v>
      </c>
      <c r="D224">
        <f ca="1" t="shared" si="34"/>
        <v>6</v>
      </c>
      <c r="E224">
        <f ca="1" t="shared" si="35"/>
        <v>0</v>
      </c>
      <c r="F224">
        <f ca="1" t="shared" si="36"/>
        <v>0.32735617376</v>
      </c>
      <c r="G224">
        <f ca="1" t="shared" si="37"/>
        <v>0.0455198901696</v>
      </c>
      <c r="H224">
        <f ca="1" t="shared" si="38"/>
        <v>0.442074398304</v>
      </c>
      <c r="I224">
        <f ca="1" t="shared" si="39"/>
        <v>964</v>
      </c>
      <c r="J224">
        <f ca="1" t="shared" si="40"/>
        <v>30</v>
      </c>
      <c r="K224">
        <f ca="1" t="shared" si="41"/>
        <v>14194</v>
      </c>
      <c r="L224">
        <f ca="1" t="shared" si="42"/>
        <v>3157</v>
      </c>
      <c r="M224">
        <f ca="1" t="shared" si="43"/>
        <v>0.0145418809536</v>
      </c>
    </row>
    <row r="225" spans="1:13">
      <c r="A225" t="str">
        <f ca="1">OFFSET($N$2,(ROW(225:225)-2)/35,0)</f>
        <v>吉林省</v>
      </c>
      <c r="B225">
        <f ca="1">OFFSET($O$1,0,MOD(ROW(225:225)-2,35))</f>
        <v>2003</v>
      </c>
      <c r="C225">
        <f ca="1" t="shared" si="33"/>
        <v>0.2066274</v>
      </c>
      <c r="D225">
        <f ca="1" t="shared" si="34"/>
        <v>6</v>
      </c>
      <c r="E225">
        <f ca="1" t="shared" si="35"/>
        <v>0</v>
      </c>
      <c r="F225">
        <f ca="1" t="shared" si="36"/>
        <v>0.37276960476</v>
      </c>
      <c r="G225">
        <f ca="1" t="shared" si="37"/>
        <v>0.043666568442</v>
      </c>
      <c r="H225">
        <f ca="1" t="shared" si="38"/>
        <v>0.43728556662</v>
      </c>
      <c r="I225">
        <f ca="1" t="shared" si="39"/>
        <v>930</v>
      </c>
      <c r="J225">
        <f ca="1" t="shared" si="40"/>
        <v>26</v>
      </c>
      <c r="K225">
        <f ca="1" t="shared" si="41"/>
        <v>13991</v>
      </c>
      <c r="L225">
        <f ca="1" t="shared" si="42"/>
        <v>3312</v>
      </c>
      <c r="M225">
        <f ca="1" t="shared" si="43"/>
        <v>0.016981230096</v>
      </c>
    </row>
    <row r="226" spans="1:13">
      <c r="A226" t="str">
        <f ca="1">OFFSET($N$2,(ROW(226:226)-2)/35,0)</f>
        <v>吉林省</v>
      </c>
      <c r="B226">
        <f ca="1">OFFSET($O$1,0,MOD(ROW(226:226)-2,35))</f>
        <v>2004</v>
      </c>
      <c r="C226">
        <f ca="1" t="shared" si="33"/>
        <v>0.20266848</v>
      </c>
      <c r="D226">
        <f ca="1" t="shared" si="34"/>
        <v>6</v>
      </c>
      <c r="E226">
        <f ca="1" t="shared" si="35"/>
        <v>0</v>
      </c>
      <c r="F226">
        <f ca="1" t="shared" si="36"/>
        <v>0.375673050144</v>
      </c>
      <c r="G226">
        <f ca="1" t="shared" si="37"/>
        <v>0.0454261131072</v>
      </c>
      <c r="H226">
        <f ca="1" t="shared" si="38"/>
        <v>0.431653462128</v>
      </c>
      <c r="I226">
        <f ca="1" t="shared" si="39"/>
        <v>1109</v>
      </c>
      <c r="J226">
        <f ca="1" t="shared" si="40"/>
        <v>39</v>
      </c>
      <c r="K226">
        <f ca="1" t="shared" si="41"/>
        <v>17048</v>
      </c>
      <c r="L226">
        <f ca="1" t="shared" si="42"/>
        <v>3041</v>
      </c>
      <c r="M226">
        <f ca="1" t="shared" si="43"/>
        <v>0.0150345268992</v>
      </c>
    </row>
    <row r="227" spans="1:13">
      <c r="A227" t="str">
        <f ca="1">OFFSET($N$2,(ROW(227:227)-2)/35,0)</f>
        <v>吉林省</v>
      </c>
      <c r="B227">
        <f ca="1">OFFSET($O$1,0,MOD(ROW(227:227)-2,35))</f>
        <v>2005</v>
      </c>
      <c r="C227">
        <f ca="1" t="shared" si="33"/>
        <v>0.219807</v>
      </c>
      <c r="D227">
        <f ca="1" t="shared" si="34"/>
        <v>6</v>
      </c>
      <c r="E227">
        <f ca="1" t="shared" si="35"/>
        <v>0</v>
      </c>
      <c r="F227">
        <f ca="1" t="shared" si="36"/>
        <v>0.3939600861</v>
      </c>
      <c r="G227">
        <f ca="1" t="shared" si="37"/>
        <v>0.052128329085</v>
      </c>
      <c r="H227">
        <f ca="1" t="shared" si="38"/>
        <v>0.4432408155</v>
      </c>
      <c r="I227">
        <f ca="1" t="shared" si="39"/>
        <v>1250</v>
      </c>
      <c r="J227">
        <f ca="1" t="shared" si="40"/>
        <v>36</v>
      </c>
      <c r="K227">
        <f ca="1" t="shared" si="41"/>
        <v>22283</v>
      </c>
      <c r="L227">
        <f ca="1" t="shared" si="42"/>
        <v>3137</v>
      </c>
      <c r="M227">
        <f ca="1" t="shared" si="43"/>
        <v>0.01581165954</v>
      </c>
    </row>
    <row r="228" spans="1:13">
      <c r="A228" t="str">
        <f ca="1">OFFSET($N$2,(ROW(228:228)-2)/35,0)</f>
        <v>吉林省</v>
      </c>
      <c r="B228">
        <f ca="1">OFFSET($O$1,0,MOD(ROW(228:228)-2,35))</f>
        <v>2006</v>
      </c>
      <c r="C228">
        <f ca="1" t="shared" si="33"/>
        <v>0.21898968</v>
      </c>
      <c r="D228">
        <f ca="1" t="shared" si="34"/>
        <v>6</v>
      </c>
      <c r="E228">
        <f ca="1" t="shared" si="35"/>
        <v>0</v>
      </c>
      <c r="F228">
        <f ca="1" t="shared" si="36"/>
        <v>0.368457436256</v>
      </c>
      <c r="G228">
        <f ca="1" t="shared" si="37"/>
        <v>0.0453812313864</v>
      </c>
      <c r="H228">
        <f ca="1" t="shared" si="38"/>
        <v>0.451107791316</v>
      </c>
      <c r="I228">
        <f ca="1" t="shared" si="39"/>
        <v>1280</v>
      </c>
      <c r="J228">
        <f ca="1" t="shared" si="40"/>
        <v>39</v>
      </c>
      <c r="K228">
        <f ca="1" t="shared" si="41"/>
        <v>15073</v>
      </c>
      <c r="L228">
        <f ca="1" t="shared" si="42"/>
        <v>3542</v>
      </c>
      <c r="M228">
        <f ca="1" t="shared" si="43"/>
        <v>0.0166169369184</v>
      </c>
    </row>
    <row r="229" spans="1:13">
      <c r="A229" t="str">
        <f ca="1">OFFSET($N$2,(ROW(229:229)-2)/35,0)</f>
        <v>吉林省</v>
      </c>
      <c r="B229">
        <f ca="1">OFFSET($O$1,0,MOD(ROW(229:229)-2,35))</f>
        <v>2007</v>
      </c>
      <c r="C229">
        <f ca="1" t="shared" si="33"/>
        <v>0.24875424</v>
      </c>
      <c r="D229">
        <f ca="1" t="shared" si="34"/>
        <v>6</v>
      </c>
      <c r="E229">
        <f ca="1" t="shared" si="35"/>
        <v>0</v>
      </c>
      <c r="F229">
        <f ca="1" t="shared" si="36"/>
        <v>0.455435846208</v>
      </c>
      <c r="G229">
        <f ca="1" t="shared" si="37"/>
        <v>0.0530667420192</v>
      </c>
      <c r="H229">
        <f ca="1" t="shared" si="38"/>
        <v>0.58936098312</v>
      </c>
      <c r="I229">
        <f ca="1" t="shared" si="39"/>
        <v>1419</v>
      </c>
      <c r="J229">
        <f ca="1" t="shared" si="40"/>
        <v>38</v>
      </c>
      <c r="K229">
        <f ca="1" t="shared" si="41"/>
        <v>26252</v>
      </c>
      <c r="L229">
        <f ca="1" t="shared" si="42"/>
        <v>4683</v>
      </c>
      <c r="M229">
        <f ca="1" t="shared" si="43"/>
        <v>0.0200240055936</v>
      </c>
    </row>
    <row r="230" spans="1:13">
      <c r="A230" t="str">
        <f ca="1">OFFSET($N$2,(ROW(230:230)-2)/35,0)</f>
        <v>吉林省</v>
      </c>
      <c r="B230">
        <f ca="1">OFFSET($O$1,0,MOD(ROW(230:230)-2,35))</f>
        <v>2008</v>
      </c>
      <c r="C230">
        <f ca="1" t="shared" si="33"/>
        <v>0.24961776</v>
      </c>
      <c r="D230">
        <f ca="1" t="shared" si="34"/>
        <v>6</v>
      </c>
      <c r="E230">
        <f ca="1" t="shared" si="35"/>
        <v>0</v>
      </c>
      <c r="F230">
        <f ca="1" t="shared" si="36"/>
        <v>0.484574636896</v>
      </c>
      <c r="G230">
        <f ca="1" t="shared" si="37"/>
        <v>0.0620125401168</v>
      </c>
      <c r="H230">
        <f ca="1" t="shared" si="38"/>
        <v>0.565284379296</v>
      </c>
      <c r="I230">
        <f ca="1" t="shared" si="39"/>
        <v>1075</v>
      </c>
      <c r="J230">
        <f ca="1" t="shared" si="40"/>
        <v>40</v>
      </c>
      <c r="K230">
        <f ca="1" t="shared" si="41"/>
        <v>20089</v>
      </c>
      <c r="L230">
        <f ca="1" t="shared" si="42"/>
        <v>4971</v>
      </c>
      <c r="M230">
        <f ca="1" t="shared" si="43"/>
        <v>0.0184535278032</v>
      </c>
    </row>
    <row r="231" spans="1:13">
      <c r="A231" t="str">
        <f ca="1">OFFSET($N$2,(ROW(231:231)-2)/35,0)</f>
        <v>吉林省</v>
      </c>
      <c r="B231">
        <f ca="1">OFFSET($O$1,0,MOD(ROW(231:231)-2,35))</f>
        <v>2009</v>
      </c>
      <c r="C231">
        <f ca="1" t="shared" si="33"/>
        <v>0.2507862</v>
      </c>
      <c r="D231">
        <f ca="1" t="shared" si="34"/>
        <v>6</v>
      </c>
      <c r="E231">
        <f ca="1" t="shared" si="35"/>
        <v>0</v>
      </c>
      <c r="F231">
        <f ca="1" t="shared" si="36"/>
        <v>0.4598164977</v>
      </c>
      <c r="G231">
        <f ca="1" t="shared" si="37"/>
        <v>0.057512799246</v>
      </c>
      <c r="H231">
        <f ca="1" t="shared" si="38"/>
        <v>0.60285240687</v>
      </c>
      <c r="I231">
        <f ca="1" t="shared" si="39"/>
        <v>1201</v>
      </c>
      <c r="J231">
        <f ca="1" t="shared" si="40"/>
        <v>32</v>
      </c>
      <c r="K231">
        <f ca="1" t="shared" si="41"/>
        <v>29640</v>
      </c>
      <c r="L231">
        <f ca="1" t="shared" si="42"/>
        <v>4994</v>
      </c>
      <c r="M231">
        <f ca="1" t="shared" si="43"/>
        <v>0.020226981828</v>
      </c>
    </row>
    <row r="232" spans="1:13">
      <c r="A232" t="str">
        <f ca="1">OFFSET($N$2,(ROW(232:232)-2)/35,0)</f>
        <v>吉林省</v>
      </c>
      <c r="B232">
        <f ca="1">OFFSET($O$1,0,MOD(ROW(232:232)-2,35))</f>
        <v>2010</v>
      </c>
      <c r="C232">
        <f ca="1" t="shared" si="33"/>
        <v>0.2646252</v>
      </c>
      <c r="D232">
        <f ca="1" t="shared" si="34"/>
        <v>6</v>
      </c>
      <c r="E232">
        <f ca="1" t="shared" si="35"/>
        <v>0</v>
      </c>
      <c r="F232">
        <f ca="1" t="shared" si="36"/>
        <v>0.48107097192</v>
      </c>
      <c r="G232">
        <f ca="1" t="shared" si="37"/>
        <v>0.063117079578</v>
      </c>
      <c r="H232">
        <f ca="1" t="shared" si="38"/>
        <v>0.66075589314</v>
      </c>
      <c r="I232">
        <f ca="1" t="shared" si="39"/>
        <v>1281</v>
      </c>
      <c r="J232">
        <f ca="1" t="shared" si="40"/>
        <v>41</v>
      </c>
      <c r="K232">
        <f ca="1" t="shared" si="41"/>
        <v>22375</v>
      </c>
      <c r="L232">
        <f ca="1" t="shared" si="42"/>
        <v>4659</v>
      </c>
      <c r="M232">
        <f ca="1" t="shared" si="43"/>
        <v>0.022062558996</v>
      </c>
    </row>
    <row r="233" spans="1:13">
      <c r="A233" t="str">
        <f ca="1">OFFSET($N$2,(ROW(233:233)-2)/35,0)</f>
        <v>吉林省</v>
      </c>
      <c r="B233">
        <f ca="1">OFFSET($O$1,0,MOD(ROW(233:233)-2,35))</f>
        <v>2011</v>
      </c>
      <c r="C233">
        <f ca="1" t="shared" si="33"/>
        <v>0.27909672</v>
      </c>
      <c r="D233">
        <f ca="1" t="shared" si="34"/>
        <v>6</v>
      </c>
      <c r="E233">
        <f ca="1" t="shared" si="35"/>
        <v>0</v>
      </c>
      <c r="F233">
        <f ca="1" t="shared" si="36"/>
        <v>0.544080449192</v>
      </c>
      <c r="G233">
        <f ca="1" t="shared" si="37"/>
        <v>0.0674116262652</v>
      </c>
      <c r="H233">
        <f ca="1" t="shared" si="38"/>
        <v>0.606100391988</v>
      </c>
      <c r="I233">
        <f ca="1" t="shared" si="39"/>
        <v>1594</v>
      </c>
      <c r="J233">
        <f ca="1" t="shared" si="40"/>
        <v>43</v>
      </c>
      <c r="K233">
        <f ca="1" t="shared" si="41"/>
        <v>29615</v>
      </c>
      <c r="L233">
        <f ca="1" t="shared" si="42"/>
        <v>3941</v>
      </c>
      <c r="M233">
        <f ca="1" t="shared" si="43"/>
        <v>0.022913840712</v>
      </c>
    </row>
    <row r="234" spans="1:13">
      <c r="A234" t="str">
        <f ca="1">OFFSET($N$2,(ROW(234:234)-2)/35,0)</f>
        <v>吉林省</v>
      </c>
      <c r="B234">
        <f ca="1">OFFSET($O$1,0,MOD(ROW(234:234)-2,35))</f>
        <v>2012</v>
      </c>
      <c r="C234">
        <f ca="1" t="shared" si="33"/>
        <v>0.2814336</v>
      </c>
      <c r="D234">
        <f ca="1" t="shared" si="34"/>
        <v>6</v>
      </c>
      <c r="E234">
        <f ca="1" t="shared" si="35"/>
        <v>0</v>
      </c>
      <c r="F234">
        <f ca="1" t="shared" si="36"/>
        <v>0.48630787968</v>
      </c>
      <c r="G234">
        <f ca="1" t="shared" si="37"/>
        <v>0.0610710912</v>
      </c>
      <c r="H234">
        <f ca="1" t="shared" si="38"/>
        <v>0.60636276288</v>
      </c>
      <c r="I234">
        <f ca="1" t="shared" si="39"/>
        <v>1579</v>
      </c>
      <c r="J234">
        <f ca="1" t="shared" si="40"/>
        <v>31</v>
      </c>
      <c r="K234">
        <f ca="1" t="shared" si="41"/>
        <v>31116</v>
      </c>
      <c r="L234">
        <f ca="1" t="shared" si="42"/>
        <v>5070</v>
      </c>
      <c r="M234">
        <f ca="1" t="shared" si="43"/>
        <v>0.023670173952</v>
      </c>
    </row>
    <row r="235" spans="1:13">
      <c r="A235" t="str">
        <f ca="1">OFFSET($N$2,(ROW(235:235)-2)/35,0)</f>
        <v>吉林省</v>
      </c>
      <c r="B235">
        <f ca="1">OFFSET($O$1,0,MOD(ROW(235:235)-2,35))</f>
        <v>2013</v>
      </c>
      <c r="C235">
        <f ca="1" t="shared" si="33"/>
        <v>0.30425472</v>
      </c>
      <c r="D235">
        <f ca="1" t="shared" si="34"/>
        <v>6</v>
      </c>
      <c r="E235">
        <f ca="1" t="shared" si="35"/>
        <v>0</v>
      </c>
      <c r="F235">
        <f ca="1" t="shared" si="36"/>
        <v>0.606552067968</v>
      </c>
      <c r="G235">
        <f ca="1" t="shared" si="37"/>
        <v>0.0645902345088</v>
      </c>
      <c r="H235">
        <f ca="1" t="shared" si="38"/>
        <v>0.63110035296</v>
      </c>
      <c r="I235">
        <f ca="1" t="shared" si="39"/>
        <v>1450</v>
      </c>
      <c r="J235">
        <f ca="1" t="shared" si="40"/>
        <v>50</v>
      </c>
      <c r="K235">
        <f ca="1" t="shared" si="41"/>
        <v>20247</v>
      </c>
      <c r="L235">
        <f ca="1" t="shared" si="42"/>
        <v>5984</v>
      </c>
      <c r="M235">
        <f ca="1" t="shared" si="43"/>
        <v>0.02198240352</v>
      </c>
    </row>
    <row r="236" spans="1:13">
      <c r="A236" t="str">
        <f ca="1">OFFSET($N$2,(ROW(236:236)-2)/35,0)</f>
        <v>吉林省</v>
      </c>
      <c r="B236">
        <f ca="1">OFFSET($O$1,0,MOD(ROW(236:236)-2,35))</f>
        <v>2014</v>
      </c>
      <c r="C236">
        <f ca="1" t="shared" si="33"/>
        <v>0.29533896</v>
      </c>
      <c r="D236">
        <f ca="1" t="shared" si="34"/>
        <v>7</v>
      </c>
      <c r="E236">
        <f ca="1" t="shared" si="35"/>
        <v>0</v>
      </c>
      <c r="F236">
        <f ca="1" t="shared" si="36"/>
        <v>0.524738574864</v>
      </c>
      <c r="G236">
        <f ca="1" t="shared" si="37"/>
        <v>0.0655933063212</v>
      </c>
      <c r="H236">
        <f ca="1" t="shared" si="38"/>
        <v>0.717201130464</v>
      </c>
      <c r="I236">
        <f ca="1" t="shared" si="39"/>
        <v>1343</v>
      </c>
      <c r="J236">
        <f ca="1" t="shared" si="40"/>
        <v>31</v>
      </c>
      <c r="K236">
        <f ca="1" t="shared" si="41"/>
        <v>34211</v>
      </c>
      <c r="L236">
        <f ca="1" t="shared" si="42"/>
        <v>3596</v>
      </c>
      <c r="M236">
        <f ca="1" t="shared" si="43"/>
        <v>0.0224466047856</v>
      </c>
    </row>
    <row r="237" spans="1:13">
      <c r="A237" t="str">
        <f ca="1">OFFSET($N$2,(ROW(237:237)-2)/35,0)</f>
        <v>吉林省</v>
      </c>
      <c r="B237">
        <f ca="1">OFFSET($O$1,0,MOD(ROW(237:237)-2,35))</f>
        <v>2015</v>
      </c>
      <c r="C237">
        <f ca="1" t="shared" si="33"/>
        <v>0.3019968</v>
      </c>
      <c r="D237">
        <f ca="1" t="shared" si="34"/>
        <v>7</v>
      </c>
      <c r="E237">
        <f ca="1" t="shared" si="35"/>
        <v>0</v>
      </c>
      <c r="F237">
        <f ca="1" t="shared" si="36"/>
        <v>0.53457460224</v>
      </c>
      <c r="G237">
        <f ca="1" t="shared" si="37"/>
        <v>0.064070131104</v>
      </c>
      <c r="H237">
        <f ca="1" t="shared" si="38"/>
        <v>0.65300768064</v>
      </c>
      <c r="I237">
        <f ca="1" t="shared" si="39"/>
        <v>1330</v>
      </c>
      <c r="J237">
        <f ca="1" t="shared" si="40"/>
        <v>71</v>
      </c>
      <c r="K237">
        <f ca="1" t="shared" si="41"/>
        <v>20727</v>
      </c>
      <c r="L237">
        <f ca="1" t="shared" si="42"/>
        <v>4126</v>
      </c>
      <c r="M237">
        <f ca="1" t="shared" si="43"/>
        <v>0.023422871808</v>
      </c>
    </row>
    <row r="238" spans="1:13">
      <c r="A238" t="str">
        <f ca="1">OFFSET($N$2,(ROW(238:238)-2)/35,0)</f>
        <v>吉林省</v>
      </c>
      <c r="B238">
        <f ca="1">OFFSET($O$1,0,MOD(ROW(238:238)-2,35))</f>
        <v>2016</v>
      </c>
      <c r="C238">
        <f ca="1" t="shared" si="33"/>
        <v>0.30518208</v>
      </c>
      <c r="D238">
        <f ca="1" t="shared" si="34"/>
        <v>7</v>
      </c>
      <c r="E238">
        <f ca="1" t="shared" si="35"/>
        <v>0</v>
      </c>
      <c r="F238">
        <f ca="1" t="shared" si="36"/>
        <v>0.607383548352</v>
      </c>
      <c r="G238">
        <f ca="1" t="shared" si="37"/>
        <v>0.0726684309792</v>
      </c>
      <c r="H238">
        <f ca="1" t="shared" si="38"/>
        <v>0.648099924192</v>
      </c>
      <c r="I238">
        <f ca="1" t="shared" si="39"/>
        <v>1656</v>
      </c>
      <c r="J238">
        <f ca="1" t="shared" si="40"/>
        <v>85</v>
      </c>
      <c r="K238">
        <f ca="1" t="shared" si="41"/>
        <v>31570</v>
      </c>
      <c r="L238">
        <f ca="1" t="shared" si="42"/>
        <v>5376</v>
      </c>
      <c r="M238">
        <f ca="1" t="shared" si="43"/>
        <v>0.0235308462912</v>
      </c>
    </row>
    <row r="239" spans="1:13">
      <c r="A239" t="str">
        <f ca="1">OFFSET($N$2,(ROW(239:239)-2)/35,0)</f>
        <v>吉林省</v>
      </c>
      <c r="B239">
        <f ca="1">OFFSET($O$1,0,MOD(ROW(239:239)-2,35))</f>
        <v>2017</v>
      </c>
      <c r="C239">
        <f ca="1" t="shared" si="33"/>
        <v>0.3272724</v>
      </c>
      <c r="D239">
        <f ca="1" t="shared" si="34"/>
        <v>8</v>
      </c>
      <c r="E239">
        <f ca="1" t="shared" si="35"/>
        <v>0</v>
      </c>
      <c r="F239">
        <f ca="1" t="shared" si="36"/>
        <v>0.61556665716</v>
      </c>
      <c r="G239">
        <f ca="1" t="shared" si="37"/>
        <v>0.075897742284</v>
      </c>
      <c r="H239">
        <f ca="1" t="shared" si="38"/>
        <v>0.67388659884</v>
      </c>
      <c r="I239">
        <f ca="1" t="shared" si="39"/>
        <v>1434</v>
      </c>
      <c r="J239">
        <f ca="1" t="shared" si="40"/>
        <v>77</v>
      </c>
      <c r="K239">
        <f ca="1" t="shared" si="41"/>
        <v>28508</v>
      </c>
      <c r="L239">
        <f ca="1" t="shared" si="42"/>
        <v>5361</v>
      </c>
      <c r="M239">
        <f ca="1" t="shared" si="43"/>
        <v>0.0264739995</v>
      </c>
    </row>
    <row r="240" spans="1:13">
      <c r="A240" t="str">
        <f ca="1">OFFSET($N$2,(ROW(240:240)-2)/35,0)</f>
        <v>吉林省</v>
      </c>
      <c r="B240">
        <f ca="1">OFFSET($O$1,0,MOD(ROW(240:240)-2,35))</f>
        <v>2018</v>
      </c>
      <c r="C240">
        <f ca="1" t="shared" si="33"/>
        <v>0.3350004</v>
      </c>
      <c r="D240">
        <f ca="1" t="shared" si="34"/>
        <v>8</v>
      </c>
      <c r="E240">
        <f ca="1" t="shared" si="35"/>
        <v>0</v>
      </c>
      <c r="F240">
        <f ca="1" t="shared" si="36"/>
        <v>0.6644732934</v>
      </c>
      <c r="G240">
        <f ca="1" t="shared" si="37"/>
        <v>0.074790514302</v>
      </c>
      <c r="H240">
        <f ca="1" t="shared" si="38"/>
        <v>0.70849234596</v>
      </c>
      <c r="I240">
        <f ca="1" t="shared" si="39"/>
        <v>1806</v>
      </c>
      <c r="J240">
        <f ca="1" t="shared" si="40"/>
        <v>216</v>
      </c>
      <c r="K240">
        <f ca="1" t="shared" si="41"/>
        <v>36741</v>
      </c>
      <c r="L240">
        <f ca="1" t="shared" si="42"/>
        <v>5850</v>
      </c>
      <c r="M240">
        <f ca="1" t="shared" si="43"/>
        <v>0.02559403056</v>
      </c>
    </row>
    <row r="241" spans="1:13">
      <c r="A241" t="str">
        <f ca="1">OFFSET($N$2,(ROW(241:241)-2)/35,0)</f>
        <v>吉林省</v>
      </c>
      <c r="B241">
        <f ca="1">OFFSET($O$1,0,MOD(ROW(241:241)-2,35))</f>
        <v>2019</v>
      </c>
      <c r="C241">
        <f ca="1" t="shared" si="33"/>
        <v>0.34810776</v>
      </c>
      <c r="D241">
        <f ca="1" t="shared" si="34"/>
        <v>8</v>
      </c>
      <c r="E241">
        <f ca="1" t="shared" si="35"/>
        <v>0</v>
      </c>
      <c r="F241">
        <f ca="1" t="shared" si="36"/>
        <v>0.693326225592</v>
      </c>
      <c r="G241">
        <f ca="1" t="shared" si="37"/>
        <v>0.08280613341</v>
      </c>
      <c r="H241">
        <f ca="1" t="shared" si="38"/>
        <v>0.855892549512</v>
      </c>
      <c r="I241">
        <f ca="1" t="shared" si="39"/>
        <v>1803</v>
      </c>
      <c r="J241">
        <f ca="1" t="shared" si="40"/>
        <v>193</v>
      </c>
      <c r="K241">
        <f ca="1" t="shared" si="41"/>
        <v>23727</v>
      </c>
      <c r="L241">
        <f ca="1" t="shared" si="42"/>
        <v>4937</v>
      </c>
      <c r="M241">
        <f ca="1" t="shared" si="43"/>
        <v>0.0273135294432</v>
      </c>
    </row>
    <row r="242" spans="1:13">
      <c r="A242" t="str">
        <f ca="1">OFFSET($N$2,(ROW(242:242)-2)/35,0)</f>
        <v>吉林省</v>
      </c>
      <c r="B242">
        <f ca="1">OFFSET($O$1,0,MOD(ROW(242:242)-2,35))</f>
        <v>2020</v>
      </c>
      <c r="C242">
        <f ca="1" t="shared" si="33"/>
        <v>0.3476928</v>
      </c>
      <c r="D242">
        <f ca="1" t="shared" si="34"/>
        <v>8</v>
      </c>
      <c r="E242">
        <f ca="1" t="shared" si="35"/>
        <v>0</v>
      </c>
      <c r="F242">
        <f ca="1" t="shared" si="36"/>
        <v>0.6754512128</v>
      </c>
      <c r="G242">
        <f ca="1" t="shared" si="37"/>
        <v>0.077681525376</v>
      </c>
      <c r="H242">
        <f ca="1" t="shared" si="38"/>
        <v>0.81657392544</v>
      </c>
      <c r="I242">
        <f ca="1" t="shared" si="39"/>
        <v>1998</v>
      </c>
      <c r="J242">
        <f ca="1" t="shared" si="40"/>
        <v>292</v>
      </c>
      <c r="K242">
        <f ca="1" t="shared" si="41"/>
        <v>28897</v>
      </c>
      <c r="L242">
        <f ca="1" t="shared" si="42"/>
        <v>5410</v>
      </c>
      <c r="M242">
        <f ca="1" t="shared" si="43"/>
        <v>0.029351729472</v>
      </c>
    </row>
    <row r="243" spans="1:13">
      <c r="A243" t="str">
        <f ca="1">OFFSET($N$2,(ROW(243:243)-2)/35,0)</f>
        <v>吉林省</v>
      </c>
      <c r="B243">
        <f ca="1">OFFSET($O$1,0,MOD(ROW(243:243)-2,35))</f>
        <v>2021</v>
      </c>
      <c r="C243">
        <f ca="1" t="shared" si="33"/>
        <v>0.35294112</v>
      </c>
      <c r="D243">
        <f ca="1" t="shared" si="34"/>
        <v>8</v>
      </c>
      <c r="E243">
        <f ca="1" t="shared" si="35"/>
        <v>0</v>
      </c>
      <c r="F243">
        <f ca="1" t="shared" si="36"/>
        <v>0.621070488864</v>
      </c>
      <c r="G243">
        <f ca="1" t="shared" si="37"/>
        <v>0.0732211647552</v>
      </c>
      <c r="H243">
        <f ca="1" t="shared" si="38"/>
        <v>0.847711629072</v>
      </c>
      <c r="I243">
        <f ca="1" t="shared" si="39"/>
        <v>2028</v>
      </c>
      <c r="J243">
        <f ca="1" t="shared" si="40"/>
        <v>203</v>
      </c>
      <c r="K243">
        <f ca="1" t="shared" si="41"/>
        <v>37019</v>
      </c>
      <c r="L243">
        <f ca="1" t="shared" si="42"/>
        <v>4016</v>
      </c>
      <c r="M243">
        <f ca="1" t="shared" si="43"/>
        <v>0.0296601633216</v>
      </c>
    </row>
    <row r="244" spans="1:13">
      <c r="A244" t="str">
        <f ca="1">OFFSET($N$2,(ROW(244:244)-2)/35,0)</f>
        <v>吉林省</v>
      </c>
      <c r="B244">
        <f ca="1">OFFSET($O$1,0,MOD(ROW(244:244)-2,35))</f>
        <v>2022</v>
      </c>
      <c r="C244">
        <f ca="1" t="shared" si="33"/>
        <v>0.36927576</v>
      </c>
      <c r="D244">
        <f ca="1" t="shared" si="34"/>
        <v>8</v>
      </c>
      <c r="E244">
        <f ca="1" t="shared" si="35"/>
        <v>0</v>
      </c>
      <c r="F244">
        <f ca="1" t="shared" si="36"/>
        <v>0.61865998992</v>
      </c>
      <c r="G244">
        <f ca="1" t="shared" si="37"/>
        <v>0.0747894196728</v>
      </c>
      <c r="H244">
        <f ca="1" t="shared" si="38"/>
        <v>0.878082365916</v>
      </c>
      <c r="I244">
        <f ca="1" t="shared" si="39"/>
        <v>1921</v>
      </c>
      <c r="J244">
        <f ca="1" t="shared" si="40"/>
        <v>291</v>
      </c>
      <c r="K244">
        <f ca="1" t="shared" si="41"/>
        <v>38623</v>
      </c>
      <c r="L244">
        <f ca="1" t="shared" si="42"/>
        <v>6813</v>
      </c>
      <c r="M244">
        <f ca="1" t="shared" si="43"/>
        <v>0.0314543817</v>
      </c>
    </row>
    <row r="245" spans="1:13">
      <c r="A245" t="str">
        <f ca="1">OFFSET($N$2,(ROW(245:245)-2)/35,0)</f>
        <v>吉林省</v>
      </c>
      <c r="B245">
        <f ca="1">OFFSET($O$1,0,MOD(ROW(245:245)-2,35))</f>
        <v>2023</v>
      </c>
      <c r="C245">
        <f ca="1" t="shared" si="33"/>
        <v>0.37651488</v>
      </c>
      <c r="D245">
        <f ca="1" t="shared" si="34"/>
        <v>8</v>
      </c>
      <c r="E245">
        <f ca="1" t="shared" si="35"/>
        <v>0</v>
      </c>
      <c r="F245">
        <f ca="1" t="shared" si="36"/>
        <v>0.707609514976</v>
      </c>
      <c r="G245">
        <f ca="1" t="shared" si="37"/>
        <v>0.0894731135088</v>
      </c>
      <c r="H245">
        <f ca="1" t="shared" si="38"/>
        <v>0.889554055488</v>
      </c>
      <c r="I245">
        <f ca="1" t="shared" si="39"/>
        <v>1786</v>
      </c>
      <c r="J245">
        <f ca="1" t="shared" si="40"/>
        <v>270</v>
      </c>
      <c r="K245">
        <f ca="1" t="shared" si="41"/>
        <v>43905</v>
      </c>
      <c r="L245">
        <f ca="1" t="shared" si="42"/>
        <v>4755</v>
      </c>
      <c r="M245">
        <f ca="1" t="shared" si="43"/>
        <v>0.0286328808672</v>
      </c>
    </row>
    <row r="246" spans="1:13">
      <c r="A246" t="str">
        <f ca="1">OFFSET($N$2,(ROW(246:246)-2)/35,0)</f>
        <v>吉林省</v>
      </c>
      <c r="B246">
        <f ca="1">OFFSET($O$1,0,MOD(ROW(246:246)-2,35))</f>
        <v>2024</v>
      </c>
      <c r="C246">
        <f ca="1" t="shared" si="33"/>
        <v>0.38601024</v>
      </c>
      <c r="D246">
        <f ca="1" t="shared" si="34"/>
        <v>8</v>
      </c>
      <c r="E246">
        <f ca="1" t="shared" si="35"/>
        <v>0</v>
      </c>
      <c r="F246">
        <f ca="1" t="shared" si="36"/>
        <v>0.718931204992</v>
      </c>
      <c r="G246">
        <f ca="1" t="shared" si="37"/>
        <v>0.0806877204672</v>
      </c>
      <c r="H246">
        <f ca="1" t="shared" si="38"/>
        <v>0.930207476352</v>
      </c>
      <c r="I246">
        <f ca="1" t="shared" si="39"/>
        <v>1825</v>
      </c>
      <c r="J246">
        <f ca="1" t="shared" si="40"/>
        <v>344</v>
      </c>
      <c r="K246">
        <f ca="1" t="shared" si="41"/>
        <v>31540</v>
      </c>
      <c r="L246">
        <f ca="1" t="shared" si="42"/>
        <v>6475</v>
      </c>
      <c r="M246">
        <f ca="1" t="shared" si="43"/>
        <v>0.0312932987136</v>
      </c>
    </row>
    <row r="247" spans="1:13">
      <c r="A247" t="str">
        <f ca="1">OFFSET($N$2,(ROW(247:247)-2)/35,0)</f>
        <v>黑龙江省</v>
      </c>
      <c r="B247">
        <f ca="1">OFFSET($O$1,0,MOD(ROW(247:247)-2,35))</f>
        <v>1990</v>
      </c>
      <c r="C247">
        <f ca="1" t="shared" si="33"/>
        <v>0.0916104</v>
      </c>
      <c r="D247">
        <f ca="1" t="shared" si="34"/>
        <v>3</v>
      </c>
      <c r="E247">
        <f ca="1" t="shared" si="35"/>
        <v>0</v>
      </c>
      <c r="F247">
        <f ca="1" t="shared" si="36"/>
        <v>0.1532336624</v>
      </c>
      <c r="G247">
        <f ca="1" t="shared" si="37"/>
        <v>0.022031843148</v>
      </c>
      <c r="H247">
        <f ca="1" t="shared" si="38"/>
        <v>0.21437291652</v>
      </c>
      <c r="I247">
        <f ca="1" t="shared" si="39"/>
        <v>458</v>
      </c>
      <c r="J247">
        <f ca="1" t="shared" si="40"/>
        <v>14</v>
      </c>
      <c r="K247">
        <f ca="1" t="shared" si="41"/>
        <v>6266</v>
      </c>
      <c r="L247">
        <f ca="1" t="shared" si="42"/>
        <v>1061</v>
      </c>
      <c r="M247">
        <f ca="1" t="shared" si="43"/>
        <v>0.007005316416</v>
      </c>
    </row>
    <row r="248" spans="1:13">
      <c r="A248" t="str">
        <f ca="1">OFFSET($N$2,(ROW(248:248)-2)/35,0)</f>
        <v>黑龙江省</v>
      </c>
      <c r="B248">
        <f ca="1">OFFSET($O$1,0,MOD(ROW(248:248)-2,35))</f>
        <v>1991</v>
      </c>
      <c r="C248">
        <f ca="1" t="shared" si="33"/>
        <v>0.09786084</v>
      </c>
      <c r="D248">
        <f ca="1" t="shared" si="34"/>
        <v>3</v>
      </c>
      <c r="E248">
        <f ca="1" t="shared" si="35"/>
        <v>0</v>
      </c>
      <c r="F248">
        <f ca="1" t="shared" si="36"/>
        <v>0.173901974708</v>
      </c>
      <c r="G248">
        <f ca="1" t="shared" si="37"/>
        <v>0.0238775556558</v>
      </c>
      <c r="H248">
        <f ca="1" t="shared" si="38"/>
        <v>0.203359718562</v>
      </c>
      <c r="I248">
        <f ca="1" t="shared" si="39"/>
        <v>427</v>
      </c>
      <c r="J248">
        <f ca="1" t="shared" si="40"/>
        <v>17</v>
      </c>
      <c r="K248">
        <f ca="1" t="shared" si="41"/>
        <v>11161</v>
      </c>
      <c r="L248">
        <f ca="1" t="shared" si="42"/>
        <v>1159</v>
      </c>
      <c r="M248">
        <f ca="1" t="shared" si="43"/>
        <v>0.007740792444</v>
      </c>
    </row>
    <row r="249" spans="1:13">
      <c r="A249" t="str">
        <f ca="1">OFFSET($N$2,(ROW(249:249)-2)/35,0)</f>
        <v>黑龙江省</v>
      </c>
      <c r="B249">
        <f ca="1">OFFSET($O$1,0,MOD(ROW(249:249)-2,35))</f>
        <v>1992</v>
      </c>
      <c r="C249">
        <f ca="1" t="shared" si="33"/>
        <v>0.1094688</v>
      </c>
      <c r="D249">
        <f ca="1" t="shared" si="34"/>
        <v>3</v>
      </c>
      <c r="E249">
        <f ca="1" t="shared" si="35"/>
        <v>0</v>
      </c>
      <c r="F249">
        <f ca="1" t="shared" si="36"/>
        <v>0.18251003232</v>
      </c>
      <c r="G249">
        <f ca="1" t="shared" si="37"/>
        <v>0.026425220976</v>
      </c>
      <c r="H249">
        <f ca="1" t="shared" si="38"/>
        <v>0.25138415232</v>
      </c>
      <c r="I249">
        <f ca="1" t="shared" si="39"/>
        <v>506</v>
      </c>
      <c r="J249">
        <f ca="1" t="shared" si="40"/>
        <v>17</v>
      </c>
      <c r="K249">
        <f ca="1" t="shared" si="41"/>
        <v>9794</v>
      </c>
      <c r="L249">
        <f ca="1" t="shared" si="42"/>
        <v>1273</v>
      </c>
      <c r="M249">
        <f ca="1" t="shared" si="43"/>
        <v>0.007908182496</v>
      </c>
    </row>
    <row r="250" spans="1:13">
      <c r="A250" t="str">
        <f ca="1">OFFSET($N$2,(ROW(250:250)-2)/35,0)</f>
        <v>黑龙江省</v>
      </c>
      <c r="B250">
        <f ca="1">OFFSET($O$1,0,MOD(ROW(250:250)-2,35))</f>
        <v>1993</v>
      </c>
      <c r="C250">
        <f ca="1" t="shared" si="33"/>
        <v>0.11923548</v>
      </c>
      <c r="D250">
        <f ca="1" t="shared" si="34"/>
        <v>3</v>
      </c>
      <c r="E250">
        <f ca="1" t="shared" si="35"/>
        <v>0</v>
      </c>
      <c r="F250">
        <f ca="1" t="shared" si="36"/>
        <v>0.227847078732</v>
      </c>
      <c r="G250">
        <f ca="1" t="shared" si="37"/>
        <v>0.0282373463736</v>
      </c>
      <c r="H250">
        <f ca="1" t="shared" si="38"/>
        <v>0.292526364858</v>
      </c>
      <c r="I250">
        <f ca="1" t="shared" si="39"/>
        <v>527</v>
      </c>
      <c r="J250">
        <f ca="1" t="shared" si="40"/>
        <v>15</v>
      </c>
      <c r="K250">
        <f ca="1" t="shared" si="41"/>
        <v>10371</v>
      </c>
      <c r="L250">
        <f ca="1" t="shared" si="42"/>
        <v>2129</v>
      </c>
      <c r="M250">
        <f ca="1" t="shared" si="43"/>
        <v>0.0093536827332</v>
      </c>
    </row>
    <row r="251" spans="1:13">
      <c r="A251" t="str">
        <f ca="1">OFFSET($N$2,(ROW(251:251)-2)/35,0)</f>
        <v>黑龙江省</v>
      </c>
      <c r="B251">
        <f ca="1">OFFSET($O$1,0,MOD(ROW(251:251)-2,35))</f>
        <v>1994</v>
      </c>
      <c r="C251">
        <f ca="1" t="shared" si="33"/>
        <v>0.11899944</v>
      </c>
      <c r="D251">
        <f ca="1" t="shared" si="34"/>
        <v>3</v>
      </c>
      <c r="E251">
        <f ca="1" t="shared" si="35"/>
        <v>0</v>
      </c>
      <c r="F251">
        <f ca="1" t="shared" si="36"/>
        <v>0.214786055904</v>
      </c>
      <c r="G251">
        <f ca="1" t="shared" si="37"/>
        <v>0.0289561337352</v>
      </c>
      <c r="H251">
        <f ca="1" t="shared" si="38"/>
        <v>0.247982933016</v>
      </c>
      <c r="I251">
        <f ca="1" t="shared" si="39"/>
        <v>680</v>
      </c>
      <c r="J251">
        <f ca="1" t="shared" si="40"/>
        <v>21</v>
      </c>
      <c r="K251">
        <f ca="1" t="shared" si="41"/>
        <v>14009</v>
      </c>
      <c r="L251">
        <f ca="1" t="shared" si="42"/>
        <v>1610</v>
      </c>
      <c r="M251">
        <f ca="1" t="shared" si="43"/>
        <v>0.0089183280312</v>
      </c>
    </row>
    <row r="252" spans="1:13">
      <c r="A252" t="str">
        <f ca="1">OFFSET($N$2,(ROW(252:252)-2)/35,0)</f>
        <v>黑龙江省</v>
      </c>
      <c r="B252">
        <f ca="1">OFFSET($O$1,0,MOD(ROW(252:252)-2,35))</f>
        <v>1995</v>
      </c>
      <c r="C252">
        <f ca="1" t="shared" si="33"/>
        <v>0.1333962</v>
      </c>
      <c r="D252">
        <f ca="1" t="shared" si="34"/>
        <v>4</v>
      </c>
      <c r="E252">
        <f ca="1" t="shared" si="35"/>
        <v>0</v>
      </c>
      <c r="F252">
        <f ca="1" t="shared" si="36"/>
        <v>0.2469608316</v>
      </c>
      <c r="G252">
        <f ca="1" t="shared" si="37"/>
        <v>0.032525328465</v>
      </c>
      <c r="H252">
        <f ca="1" t="shared" si="38"/>
        <v>0.32981543469</v>
      </c>
      <c r="I252">
        <f ca="1" t="shared" si="39"/>
        <v>721</v>
      </c>
      <c r="J252">
        <f ca="1" t="shared" si="40"/>
        <v>25</v>
      </c>
      <c r="K252">
        <f ca="1" t="shared" si="41"/>
        <v>13119</v>
      </c>
      <c r="L252">
        <f ca="1" t="shared" si="42"/>
        <v>2108</v>
      </c>
      <c r="M252">
        <f ca="1" t="shared" si="43"/>
        <v>0.010487609244</v>
      </c>
    </row>
    <row r="253" spans="1:13">
      <c r="A253" t="str">
        <f ca="1">OFFSET($N$2,(ROW(253:253)-2)/35,0)</f>
        <v>黑龙江省</v>
      </c>
      <c r="B253">
        <f ca="1">OFFSET($O$1,0,MOD(ROW(253:253)-2,35))</f>
        <v>1996</v>
      </c>
      <c r="C253">
        <f ca="1" t="shared" si="33"/>
        <v>0.13586496</v>
      </c>
      <c r="D253">
        <f ca="1" t="shared" si="34"/>
        <v>4</v>
      </c>
      <c r="E253">
        <f ca="1" t="shared" si="35"/>
        <v>0</v>
      </c>
      <c r="F253">
        <f ca="1" t="shared" si="36"/>
        <v>0.242672933888</v>
      </c>
      <c r="G253">
        <f ca="1" t="shared" si="37"/>
        <v>0.0294059326176</v>
      </c>
      <c r="H253">
        <f ca="1" t="shared" si="38"/>
        <v>0.292000972032</v>
      </c>
      <c r="I253">
        <f ca="1" t="shared" si="39"/>
        <v>569</v>
      </c>
      <c r="J253">
        <f ca="1" t="shared" si="40"/>
        <v>20</v>
      </c>
      <c r="K253">
        <f ca="1" t="shared" si="41"/>
        <v>15179</v>
      </c>
      <c r="L253">
        <f ca="1" t="shared" si="42"/>
        <v>1842</v>
      </c>
      <c r="M253">
        <f ca="1" t="shared" si="43"/>
        <v>0.010224808704</v>
      </c>
    </row>
    <row r="254" spans="1:13">
      <c r="A254" t="str">
        <f ca="1">OFFSET($N$2,(ROW(254:254)-2)/35,0)</f>
        <v>黑龙江省</v>
      </c>
      <c r="B254">
        <f ca="1">OFFSET($O$1,0,MOD(ROW(254:254)-2,35))</f>
        <v>1997</v>
      </c>
      <c r="C254">
        <f ca="1" t="shared" si="33"/>
        <v>0.14789796</v>
      </c>
      <c r="D254">
        <f ca="1" t="shared" si="34"/>
        <v>4</v>
      </c>
      <c r="E254">
        <f ca="1" t="shared" si="35"/>
        <v>1</v>
      </c>
      <c r="F254">
        <f ca="1" t="shared" si="36"/>
        <v>0.262563248388</v>
      </c>
      <c r="G254">
        <f ca="1" t="shared" si="37"/>
        <v>0.0303309136368</v>
      </c>
      <c r="H254">
        <f ca="1" t="shared" si="38"/>
        <v>0.310038493548</v>
      </c>
      <c r="I254">
        <f ca="1" t="shared" si="39"/>
        <v>822</v>
      </c>
      <c r="J254">
        <f ca="1" t="shared" si="40"/>
        <v>21</v>
      </c>
      <c r="K254">
        <f ca="1" t="shared" si="41"/>
        <v>16933</v>
      </c>
      <c r="L254">
        <f ca="1" t="shared" si="42"/>
        <v>2568</v>
      </c>
      <c r="M254">
        <f ca="1" t="shared" si="43"/>
        <v>0.0119674803576</v>
      </c>
    </row>
    <row r="255" spans="1:13">
      <c r="A255" t="str">
        <f ca="1">OFFSET($N$2,(ROW(255:255)-2)/35,0)</f>
        <v>黑龙江省</v>
      </c>
      <c r="B255">
        <f ca="1">OFFSET($O$1,0,MOD(ROW(255:255)-2,35))</f>
        <v>1998</v>
      </c>
      <c r="C255">
        <f ca="1" t="shared" si="33"/>
        <v>0.16255512</v>
      </c>
      <c r="D255">
        <f ca="1" t="shared" si="34"/>
        <v>4</v>
      </c>
      <c r="E255">
        <f ca="1" t="shared" si="35"/>
        <v>1</v>
      </c>
      <c r="F255">
        <f ca="1" t="shared" si="36"/>
        <v>0.323094556512</v>
      </c>
      <c r="G255">
        <f ca="1" t="shared" si="37"/>
        <v>0.0400625220996</v>
      </c>
      <c r="H255">
        <f ca="1" t="shared" si="38"/>
        <v>0.343999144944</v>
      </c>
      <c r="I255">
        <f ca="1" t="shared" si="39"/>
        <v>737</v>
      </c>
      <c r="J255">
        <f ca="1" t="shared" si="40"/>
        <v>23</v>
      </c>
      <c r="K255">
        <f ca="1" t="shared" si="41"/>
        <v>18678</v>
      </c>
      <c r="L255">
        <f ca="1" t="shared" si="42"/>
        <v>3013</v>
      </c>
      <c r="M255">
        <f ca="1" t="shared" si="43"/>
        <v>0.0133339320504</v>
      </c>
    </row>
    <row r="256" spans="1:13">
      <c r="A256" t="str">
        <f ca="1">OFFSET($N$2,(ROW(256:256)-2)/35,0)</f>
        <v>黑龙江省</v>
      </c>
      <c r="B256">
        <f ca="1">OFFSET($O$1,0,MOD(ROW(256:256)-2,35))</f>
        <v>1999</v>
      </c>
      <c r="C256">
        <f ca="1" t="shared" si="33"/>
        <v>0.17271912</v>
      </c>
      <c r="D256">
        <f ca="1" t="shared" si="34"/>
        <v>4</v>
      </c>
      <c r="E256">
        <f ca="1" t="shared" si="35"/>
        <v>1</v>
      </c>
      <c r="F256">
        <f ca="1" t="shared" si="36"/>
        <v>0.299604342856</v>
      </c>
      <c r="G256">
        <f ca="1" t="shared" si="37"/>
        <v>0.0386001325332</v>
      </c>
      <c r="H256">
        <f ca="1" t="shared" si="38"/>
        <v>0.413506845192</v>
      </c>
      <c r="I256">
        <f ca="1" t="shared" si="39"/>
        <v>899</v>
      </c>
      <c r="J256">
        <f ca="1" t="shared" si="40"/>
        <v>22</v>
      </c>
      <c r="K256">
        <f ca="1" t="shared" si="41"/>
        <v>19509</v>
      </c>
      <c r="L256">
        <f ca="1" t="shared" si="42"/>
        <v>3364</v>
      </c>
      <c r="M256">
        <f ca="1" t="shared" si="43"/>
        <v>0.0147497193648</v>
      </c>
    </row>
    <row r="257" spans="1:13">
      <c r="A257" t="str">
        <f ca="1">OFFSET($N$2,(ROW(257:257)-2)/35,0)</f>
        <v>黑龙江省</v>
      </c>
      <c r="B257">
        <f ca="1">OFFSET($O$1,0,MOD(ROW(257:257)-2,35))</f>
        <v>2000</v>
      </c>
      <c r="C257">
        <f ca="1" t="shared" si="33"/>
        <v>0.1800624</v>
      </c>
      <c r="D257">
        <f ca="1" t="shared" si="34"/>
        <v>4</v>
      </c>
      <c r="E257">
        <f ca="1" t="shared" si="35"/>
        <v>1</v>
      </c>
      <c r="F257">
        <f ca="1" t="shared" si="36"/>
        <v>0.31489312512</v>
      </c>
      <c r="G257">
        <f ca="1" t="shared" si="37"/>
        <v>0.038908783704</v>
      </c>
      <c r="H257">
        <f ca="1" t="shared" si="38"/>
        <v>0.40480728456</v>
      </c>
      <c r="I257">
        <f ca="1" t="shared" si="39"/>
        <v>982</v>
      </c>
      <c r="J257">
        <f ca="1" t="shared" si="40"/>
        <v>32</v>
      </c>
      <c r="K257">
        <f ca="1" t="shared" si="41"/>
        <v>17058</v>
      </c>
      <c r="L257">
        <f ca="1" t="shared" si="42"/>
        <v>2034</v>
      </c>
      <c r="M257">
        <f ca="1" t="shared" si="43"/>
        <v>0.015406653408</v>
      </c>
    </row>
    <row r="258" spans="1:13">
      <c r="A258" t="str">
        <f ca="1">OFFSET($N$2,(ROW(258:258)-2)/35,0)</f>
        <v>黑龙江省</v>
      </c>
      <c r="B258">
        <f ca="1">OFFSET($O$1,0,MOD(ROW(258:258)-2,35))</f>
        <v>2001</v>
      </c>
      <c r="C258">
        <f ca="1" t="shared" si="33"/>
        <v>0.1771056</v>
      </c>
      <c r="D258">
        <f ca="1" t="shared" si="34"/>
        <v>5</v>
      </c>
      <c r="E258">
        <f ca="1" t="shared" si="35"/>
        <v>1</v>
      </c>
      <c r="F258">
        <f ca="1" t="shared" si="36"/>
        <v>0.3265532088</v>
      </c>
      <c r="G258">
        <f ca="1" t="shared" si="37"/>
        <v>0.040327830648</v>
      </c>
      <c r="H258">
        <f ca="1" t="shared" si="38"/>
        <v>0.36183559608</v>
      </c>
      <c r="I258">
        <f ca="1" t="shared" si="39"/>
        <v>944</v>
      </c>
      <c r="J258">
        <f ca="1" t="shared" si="40"/>
        <v>19</v>
      </c>
      <c r="K258">
        <f ca="1" t="shared" si="41"/>
        <v>15808</v>
      </c>
      <c r="L258">
        <f ca="1" t="shared" si="42"/>
        <v>3069</v>
      </c>
      <c r="M258">
        <f ca="1" t="shared" si="43"/>
        <v>0.015009952608</v>
      </c>
    </row>
    <row r="259" spans="1:13">
      <c r="A259" t="str">
        <f ca="1">OFFSET($N$2,(ROW(259:259)-2)/35,0)</f>
        <v>黑龙江省</v>
      </c>
      <c r="B259">
        <f ca="1">OFFSET($O$1,0,MOD(ROW(259:259)-2,35))</f>
        <v>2002</v>
      </c>
      <c r="C259">
        <f ca="1" t="shared" ref="C259:C322" si="44">IF(OR(A259="北京市",A259="上海市",A259="广东省"),(B259-1980)*RANDBETWEEN(15000,16000)/500000,IF(OR(A259="西藏自治区",A259="新疆维吾尔自治区",A259="青海省",A259="广西壮族自治区",A259="内蒙古自治区",A259="宁夏回族自治区",A259="贵州省",A259="甘肃省",A259="陕西省",A259="云南省"),(B259-1980)*RANDBETWEEN(7000,8000)/500000,IF(OR(A259="浙江省",A259="江苏省",A259="山东省",A259="辽宁省"),(B259-1980)*RANDBETWEEN(13000,14000)/500000,(B259-1980)*RANDBETWEEN(10000,11000)/500000)))*0.42</f>
        <v>0.19198872</v>
      </c>
      <c r="D259">
        <f ca="1" t="shared" ref="D259:D322" si="45">IF($B259=1990,ROUND($C259*RANDBETWEEN(10000,20000)/500,0),ROUND(D258+RANDBETWEEN(0,5)/10,0))</f>
        <v>5</v>
      </c>
      <c r="E259">
        <f ca="1" t="shared" ref="E259:E322" si="46">IF($B259=1990,ROUND($C259*RANDBETWEEN(10000,20000)/5000,0),ROUND(E258+RANDBETWEEN(0,20)/40,0))</f>
        <v>1</v>
      </c>
      <c r="F259">
        <f ca="1" t="shared" ref="F259:F322" si="47">$C259*RANDBETWEEN(50000,60000)/30000</f>
        <v>0.325305687168</v>
      </c>
      <c r="G259">
        <f ca="1" t="shared" ref="G259:G322" si="48">$C259*RANDBETWEEN(40000,50000)/200000</f>
        <v>0.0426397347684</v>
      </c>
      <c r="H259">
        <f ca="1" t="shared" ref="H259:H322" si="49">$C259*RANDBETWEEN(40000,50000)/20000</f>
        <v>0.384898985856</v>
      </c>
      <c r="I259">
        <f ca="1" t="shared" ref="I259:I322" si="50">ROUND($C259*RANDBETWEEN(20000,30000)/5,0)</f>
        <v>1036</v>
      </c>
      <c r="J259">
        <f ca="1" t="shared" ref="J259:J322" si="51">IF(B259&lt;2015,ROUND($C259*RANDBETWEEN(10000,20000)/100,0),IF(B259&lt;2018,ROUND($C259*RANDBETWEEN(10000,20000)/70,0),ROUND($C259*RANDBETWEEN(10000,20000)/20,0)))</f>
        <v>31</v>
      </c>
      <c r="K259">
        <f ca="1" t="shared" ref="K259:K322" si="52">ROUND($C259*RANDBETWEEN(10000,20000)*6,0)</f>
        <v>20363</v>
      </c>
      <c r="L259">
        <f ca="1" t="shared" ref="L259:L322" si="53">ROUND($C259*RANDBETWEEN(10000,20000)*1,0)</f>
        <v>2375</v>
      </c>
      <c r="M259">
        <f ca="1" t="shared" ref="M259:M322" si="54">$C259*RANDBETWEEN(50000,60000)/700000</f>
        <v>0.0149476932</v>
      </c>
    </row>
    <row r="260" spans="1:13">
      <c r="A260" t="str">
        <f ca="1">OFFSET($N$2,(ROW(260:260)-2)/35,0)</f>
        <v>黑龙江省</v>
      </c>
      <c r="B260">
        <f ca="1">OFFSET($O$1,0,MOD(ROW(260:260)-2,35))</f>
        <v>2003</v>
      </c>
      <c r="C260">
        <f ca="1" t="shared" si="44"/>
        <v>0.20996976</v>
      </c>
      <c r="D260">
        <f ca="1" t="shared" si="45"/>
        <v>5</v>
      </c>
      <c r="E260">
        <f ca="1" t="shared" si="46"/>
        <v>1</v>
      </c>
      <c r="F260">
        <f ca="1" t="shared" si="47"/>
        <v>0.371170543744</v>
      </c>
      <c r="G260">
        <f ca="1" t="shared" si="48"/>
        <v>0.0435414291312</v>
      </c>
      <c r="H260">
        <f ca="1" t="shared" si="49"/>
        <v>0.453419198232</v>
      </c>
      <c r="I260">
        <f ca="1" t="shared" si="50"/>
        <v>864</v>
      </c>
      <c r="J260">
        <f ca="1" t="shared" si="51"/>
        <v>23</v>
      </c>
      <c r="K260">
        <f ca="1" t="shared" si="52"/>
        <v>21979</v>
      </c>
      <c r="L260">
        <f ca="1" t="shared" si="53"/>
        <v>3064</v>
      </c>
      <c r="M260">
        <f ca="1" t="shared" si="54"/>
        <v>0.017154529392</v>
      </c>
    </row>
    <row r="261" spans="1:13">
      <c r="A261" t="str">
        <f ca="1">OFFSET($N$2,(ROW(261:261)-2)/35,0)</f>
        <v>黑龙江省</v>
      </c>
      <c r="B261">
        <f ca="1">OFFSET($O$1,0,MOD(ROW(261:261)-2,35))</f>
        <v>2004</v>
      </c>
      <c r="C261">
        <f ca="1" t="shared" si="44"/>
        <v>0.20863584</v>
      </c>
      <c r="D261">
        <f ca="1" t="shared" si="45"/>
        <v>5</v>
      </c>
      <c r="E261">
        <f ca="1" t="shared" si="46"/>
        <v>1</v>
      </c>
      <c r="F261">
        <f ca="1" t="shared" si="47"/>
        <v>0.415136639904</v>
      </c>
      <c r="G261">
        <f ca="1" t="shared" si="48"/>
        <v>0.0511981919568</v>
      </c>
      <c r="H261">
        <f ca="1" t="shared" si="49"/>
        <v>0.455253834672</v>
      </c>
      <c r="I261">
        <f ca="1" t="shared" si="50"/>
        <v>1059</v>
      </c>
      <c r="J261">
        <f ca="1" t="shared" si="51"/>
        <v>33</v>
      </c>
      <c r="K261">
        <f ca="1" t="shared" si="52"/>
        <v>21440</v>
      </c>
      <c r="L261">
        <f ca="1" t="shared" si="53"/>
        <v>2677</v>
      </c>
      <c r="M261">
        <f ca="1" t="shared" si="54"/>
        <v>0.0158068473408</v>
      </c>
    </row>
    <row r="262" spans="1:13">
      <c r="A262" t="str">
        <f ca="1">OFFSET($N$2,(ROW(262:262)-2)/35,0)</f>
        <v>黑龙江省</v>
      </c>
      <c r="B262">
        <f ca="1">OFFSET($O$1,0,MOD(ROW(262:262)-2,35))</f>
        <v>2005</v>
      </c>
      <c r="C262">
        <f ca="1" t="shared" si="44"/>
        <v>0.21399</v>
      </c>
      <c r="D262">
        <f ca="1" t="shared" si="45"/>
        <v>6</v>
      </c>
      <c r="E262">
        <f ca="1" t="shared" si="46"/>
        <v>1</v>
      </c>
      <c r="F262">
        <f ca="1" t="shared" si="47"/>
        <v>0.357484561</v>
      </c>
      <c r="G262">
        <f ca="1" t="shared" si="48"/>
        <v>0.05269610745</v>
      </c>
      <c r="H262">
        <f ca="1" t="shared" si="49"/>
        <v>0.50565837</v>
      </c>
      <c r="I262">
        <f ca="1" t="shared" si="50"/>
        <v>1181</v>
      </c>
      <c r="J262">
        <f ca="1" t="shared" si="51"/>
        <v>41</v>
      </c>
      <c r="K262">
        <f ca="1" t="shared" si="52"/>
        <v>24115</v>
      </c>
      <c r="L262">
        <f ca="1" t="shared" si="53"/>
        <v>3128</v>
      </c>
      <c r="M262">
        <f ca="1" t="shared" si="54"/>
        <v>0.0153222954</v>
      </c>
    </row>
    <row r="263" spans="1:13">
      <c r="A263" t="str">
        <f ca="1">OFFSET($N$2,(ROW(263:263)-2)/35,0)</f>
        <v>黑龙江省</v>
      </c>
      <c r="B263">
        <f ca="1">OFFSET($O$1,0,MOD(ROW(263:263)-2,35))</f>
        <v>2006</v>
      </c>
      <c r="C263">
        <f ca="1" t="shared" si="44"/>
        <v>0.2292108</v>
      </c>
      <c r="D263">
        <f ca="1" t="shared" si="45"/>
        <v>6</v>
      </c>
      <c r="E263">
        <f ca="1" t="shared" si="46"/>
        <v>1</v>
      </c>
      <c r="F263">
        <f ca="1" t="shared" si="47"/>
        <v>0.45709981772</v>
      </c>
      <c r="G263">
        <f ca="1" t="shared" si="48"/>
        <v>0.052723068216</v>
      </c>
      <c r="H263">
        <f ca="1" t="shared" si="49"/>
        <v>0.54206062092</v>
      </c>
      <c r="I263">
        <f ca="1" t="shared" si="50"/>
        <v>1315</v>
      </c>
      <c r="J263">
        <f ca="1" t="shared" si="51"/>
        <v>35</v>
      </c>
      <c r="K263">
        <f ca="1" t="shared" si="52"/>
        <v>14091</v>
      </c>
      <c r="L263">
        <f ca="1" t="shared" si="53"/>
        <v>3895</v>
      </c>
      <c r="M263">
        <f ca="1" t="shared" si="54"/>
        <v>0.018426256212</v>
      </c>
    </row>
    <row r="264" spans="1:13">
      <c r="A264" t="str">
        <f ca="1">OFFSET($N$2,(ROW(264:264)-2)/35,0)</f>
        <v>黑龙江省</v>
      </c>
      <c r="B264">
        <f ca="1">OFFSET($O$1,0,MOD(ROW(264:264)-2,35))</f>
        <v>2007</v>
      </c>
      <c r="C264">
        <f ca="1" t="shared" si="44"/>
        <v>0.24508008</v>
      </c>
      <c r="D264">
        <f ca="1" t="shared" si="45"/>
        <v>6</v>
      </c>
      <c r="E264">
        <f ca="1" t="shared" si="46"/>
        <v>1</v>
      </c>
      <c r="F264">
        <f ca="1" t="shared" si="47"/>
        <v>0.455366957976</v>
      </c>
      <c r="G264">
        <f ca="1" t="shared" si="48"/>
        <v>0.0513295719552</v>
      </c>
      <c r="H264">
        <f ca="1" t="shared" si="49"/>
        <v>0.503284198284</v>
      </c>
      <c r="I264">
        <f ca="1" t="shared" si="50"/>
        <v>1371</v>
      </c>
      <c r="J264">
        <f ca="1" t="shared" si="51"/>
        <v>40</v>
      </c>
      <c r="K264">
        <f ca="1" t="shared" si="52"/>
        <v>19919</v>
      </c>
      <c r="L264">
        <f ca="1" t="shared" si="53"/>
        <v>3182</v>
      </c>
      <c r="M264">
        <f ca="1" t="shared" si="54"/>
        <v>0.0200002851</v>
      </c>
    </row>
    <row r="265" spans="1:13">
      <c r="A265" t="str">
        <f ca="1">OFFSET($N$2,(ROW(265:265)-2)/35,0)</f>
        <v>黑龙江省</v>
      </c>
      <c r="B265">
        <f ca="1">OFFSET($O$1,0,MOD(ROW(265:265)-2,35))</f>
        <v>2008</v>
      </c>
      <c r="C265">
        <f ca="1" t="shared" si="44"/>
        <v>0.25241664</v>
      </c>
      <c r="D265">
        <f ca="1" t="shared" si="45"/>
        <v>6</v>
      </c>
      <c r="E265">
        <f ca="1" t="shared" si="46"/>
        <v>1</v>
      </c>
      <c r="F265">
        <f ca="1" t="shared" si="47"/>
        <v>0.433332059776</v>
      </c>
      <c r="G265">
        <f ca="1" t="shared" si="48"/>
        <v>0.0605522277696</v>
      </c>
      <c r="H265">
        <f ca="1" t="shared" si="49"/>
        <v>0.527197394304</v>
      </c>
      <c r="I265">
        <f ca="1" t="shared" si="50"/>
        <v>1427</v>
      </c>
      <c r="J265">
        <f ca="1" t="shared" si="51"/>
        <v>39</v>
      </c>
      <c r="K265">
        <f ca="1" t="shared" si="52"/>
        <v>25901</v>
      </c>
      <c r="L265">
        <f ca="1" t="shared" si="53"/>
        <v>3642</v>
      </c>
      <c r="M265">
        <f ca="1" t="shared" si="54"/>
        <v>0.0192016944</v>
      </c>
    </row>
    <row r="266" spans="1:13">
      <c r="A266" t="str">
        <f ca="1">OFFSET($N$2,(ROW(266:266)-2)/35,0)</f>
        <v>黑龙江省</v>
      </c>
      <c r="B266">
        <f ca="1">OFFSET($O$1,0,MOD(ROW(266:266)-2,35))</f>
        <v>2009</v>
      </c>
      <c r="C266">
        <f ca="1" t="shared" si="44"/>
        <v>0.25470816</v>
      </c>
      <c r="D266">
        <f ca="1" t="shared" si="45"/>
        <v>6</v>
      </c>
      <c r="E266">
        <f ca="1" t="shared" si="46"/>
        <v>2</v>
      </c>
      <c r="F266">
        <f ca="1" t="shared" si="47"/>
        <v>0.43673959168</v>
      </c>
      <c r="G266">
        <f ca="1" t="shared" si="48"/>
        <v>0.0612496712352</v>
      </c>
      <c r="H266">
        <f ca="1" t="shared" si="49"/>
        <v>0.533142385104</v>
      </c>
      <c r="I266">
        <f ca="1" t="shared" si="50"/>
        <v>1387</v>
      </c>
      <c r="J266">
        <f ca="1" t="shared" si="51"/>
        <v>43</v>
      </c>
      <c r="K266">
        <f ca="1" t="shared" si="52"/>
        <v>19621</v>
      </c>
      <c r="L266">
        <f ca="1" t="shared" si="53"/>
        <v>3119</v>
      </c>
      <c r="M266">
        <f ca="1" t="shared" si="54"/>
        <v>0.0213187091232</v>
      </c>
    </row>
    <row r="267" spans="1:13">
      <c r="A267" t="str">
        <f ca="1">OFFSET($N$2,(ROW(267:267)-2)/35,0)</f>
        <v>黑龙江省</v>
      </c>
      <c r="B267">
        <f ca="1">OFFSET($O$1,0,MOD(ROW(267:267)-2,35))</f>
        <v>2010</v>
      </c>
      <c r="C267">
        <f ca="1" t="shared" si="44"/>
        <v>0.258174</v>
      </c>
      <c r="D267">
        <f ca="1" t="shared" si="45"/>
        <v>6</v>
      </c>
      <c r="E267">
        <f ca="1" t="shared" si="46"/>
        <v>2</v>
      </c>
      <c r="F267">
        <f ca="1" t="shared" si="47"/>
        <v>0.4918386816</v>
      </c>
      <c r="G267">
        <f ca="1" t="shared" si="48"/>
        <v>0.05893079724</v>
      </c>
      <c r="H267">
        <f ca="1" t="shared" si="49"/>
        <v>0.5558098959</v>
      </c>
      <c r="I267">
        <f ca="1" t="shared" si="50"/>
        <v>1098</v>
      </c>
      <c r="J267">
        <f ca="1" t="shared" si="51"/>
        <v>39</v>
      </c>
      <c r="K267">
        <f ca="1" t="shared" si="52"/>
        <v>29399</v>
      </c>
      <c r="L267">
        <f ca="1" t="shared" si="53"/>
        <v>4184</v>
      </c>
      <c r="M267">
        <f ca="1" t="shared" si="54"/>
        <v>0.0192321189</v>
      </c>
    </row>
    <row r="268" spans="1:13">
      <c r="A268" t="str">
        <f ca="1">OFFSET($N$2,(ROW(268:268)-2)/35,0)</f>
        <v>黑龙江省</v>
      </c>
      <c r="B268">
        <f ca="1">OFFSET($O$1,0,MOD(ROW(268:268)-2,35))</f>
        <v>2011</v>
      </c>
      <c r="C268">
        <f ca="1" t="shared" si="44"/>
        <v>0.27339396</v>
      </c>
      <c r="D268">
        <f ca="1" t="shared" si="45"/>
        <v>7</v>
      </c>
      <c r="E268">
        <f ca="1" t="shared" si="46"/>
        <v>2</v>
      </c>
      <c r="F268">
        <f ca="1" t="shared" si="47"/>
        <v>0.520195800824</v>
      </c>
      <c r="G268">
        <f ca="1" t="shared" si="48"/>
        <v>0.055102552638</v>
      </c>
      <c r="H268">
        <f ca="1" t="shared" si="49"/>
        <v>0.64438956372</v>
      </c>
      <c r="I268">
        <f ca="1" t="shared" si="50"/>
        <v>1242</v>
      </c>
      <c r="J268">
        <f ca="1" t="shared" si="51"/>
        <v>47</v>
      </c>
      <c r="K268">
        <f ca="1" t="shared" si="52"/>
        <v>24448</v>
      </c>
      <c r="L268">
        <f ca="1" t="shared" si="53"/>
        <v>3224</v>
      </c>
      <c r="M268">
        <f ca="1" t="shared" si="54"/>
        <v>0.0195773509128</v>
      </c>
    </row>
    <row r="269" spans="1:13">
      <c r="A269" t="str">
        <f ca="1">OFFSET($N$2,(ROW(269:269)-2)/35,0)</f>
        <v>黑龙江省</v>
      </c>
      <c r="B269">
        <f ca="1">OFFSET($O$1,0,MOD(ROW(269:269)-2,35))</f>
        <v>2012</v>
      </c>
      <c r="C269">
        <f ca="1" t="shared" si="44"/>
        <v>0.26888064</v>
      </c>
      <c r="D269">
        <f ca="1" t="shared" si="45"/>
        <v>7</v>
      </c>
      <c r="E269">
        <f ca="1" t="shared" si="46"/>
        <v>2</v>
      </c>
      <c r="F269">
        <f ca="1" t="shared" si="47"/>
        <v>0.507682499072</v>
      </c>
      <c r="G269">
        <f ca="1" t="shared" si="48"/>
        <v>0.0664646054016</v>
      </c>
      <c r="H269">
        <f ca="1" t="shared" si="49"/>
        <v>0.588996485952</v>
      </c>
      <c r="I269">
        <f ca="1" t="shared" si="50"/>
        <v>1244</v>
      </c>
      <c r="J269">
        <f ca="1" t="shared" si="51"/>
        <v>42</v>
      </c>
      <c r="K269">
        <f ca="1" t="shared" si="52"/>
        <v>28378</v>
      </c>
      <c r="L269">
        <f ca="1" t="shared" si="53"/>
        <v>2747</v>
      </c>
      <c r="M269">
        <f ca="1" t="shared" si="54"/>
        <v>0.0205628390016</v>
      </c>
    </row>
    <row r="270" spans="1:13">
      <c r="A270" t="str">
        <f ca="1">OFFSET($N$2,(ROW(270:270)-2)/35,0)</f>
        <v>黑龙江省</v>
      </c>
      <c r="B270">
        <f ca="1">OFFSET($O$1,0,MOD(ROW(270:270)-2,35))</f>
        <v>2013</v>
      </c>
      <c r="C270">
        <f ca="1" t="shared" si="44"/>
        <v>0.28848204</v>
      </c>
      <c r="D270">
        <f ca="1" t="shared" si="45"/>
        <v>8</v>
      </c>
      <c r="E270">
        <f ca="1" t="shared" si="46"/>
        <v>2</v>
      </c>
      <c r="F270">
        <f ca="1" t="shared" si="47"/>
        <v>0.560587916196</v>
      </c>
      <c r="G270">
        <f ca="1" t="shared" si="48"/>
        <v>0.060674985063</v>
      </c>
      <c r="H270">
        <f ca="1" t="shared" si="49"/>
        <v>0.707848381548</v>
      </c>
      <c r="I270">
        <f ca="1" t="shared" si="50"/>
        <v>1169</v>
      </c>
      <c r="J270">
        <f ca="1" t="shared" si="51"/>
        <v>35</v>
      </c>
      <c r="K270">
        <f ca="1" t="shared" si="52"/>
        <v>19216</v>
      </c>
      <c r="L270">
        <f ca="1" t="shared" si="53"/>
        <v>3127</v>
      </c>
      <c r="M270">
        <f ca="1" t="shared" si="54"/>
        <v>0.0207566948952</v>
      </c>
    </row>
    <row r="271" spans="1:13">
      <c r="A271" t="str">
        <f ca="1">OFFSET($N$2,(ROW(271:271)-2)/35,0)</f>
        <v>黑龙江省</v>
      </c>
      <c r="B271">
        <f ca="1">OFFSET($O$1,0,MOD(ROW(271:271)-2,35))</f>
        <v>2014</v>
      </c>
      <c r="C271">
        <f ca="1" t="shared" si="44"/>
        <v>0.29625288</v>
      </c>
      <c r="D271">
        <f ca="1" t="shared" si="45"/>
        <v>8</v>
      </c>
      <c r="E271">
        <f ca="1" t="shared" si="46"/>
        <v>2</v>
      </c>
      <c r="F271">
        <f ca="1" t="shared" si="47"/>
        <v>0.513021112296</v>
      </c>
      <c r="G271">
        <f ca="1" t="shared" si="48"/>
        <v>0.0703778341728</v>
      </c>
      <c r="H271">
        <f ca="1" t="shared" si="49"/>
        <v>0.61168813398</v>
      </c>
      <c r="I271">
        <f ca="1" t="shared" si="50"/>
        <v>1276</v>
      </c>
      <c r="J271">
        <f ca="1" t="shared" si="51"/>
        <v>51</v>
      </c>
      <c r="K271">
        <f ca="1" t="shared" si="52"/>
        <v>30989</v>
      </c>
      <c r="L271">
        <f ca="1" t="shared" si="53"/>
        <v>3760</v>
      </c>
      <c r="M271">
        <f ca="1" t="shared" si="54"/>
        <v>0.02139369012</v>
      </c>
    </row>
    <row r="272" spans="1:13">
      <c r="A272" t="str">
        <f ca="1">OFFSET($N$2,(ROW(272:272)-2)/35,0)</f>
        <v>黑龙江省</v>
      </c>
      <c r="B272">
        <f ca="1">OFFSET($O$1,0,MOD(ROW(272:272)-2,35))</f>
        <v>2015</v>
      </c>
      <c r="C272">
        <f ca="1" t="shared" si="44"/>
        <v>0.3078474</v>
      </c>
      <c r="D272">
        <f ca="1" t="shared" si="45"/>
        <v>8</v>
      </c>
      <c r="E272">
        <f ca="1" t="shared" si="46"/>
        <v>2</v>
      </c>
      <c r="F272">
        <f ca="1" t="shared" si="47"/>
        <v>0.52532106494</v>
      </c>
      <c r="G272">
        <f ca="1" t="shared" si="48"/>
        <v>0.067223097501</v>
      </c>
      <c r="H272">
        <f ca="1" t="shared" si="49"/>
        <v>0.69847496586</v>
      </c>
      <c r="I272">
        <f ca="1" t="shared" si="50"/>
        <v>1635</v>
      </c>
      <c r="J272">
        <f ca="1" t="shared" si="51"/>
        <v>61</v>
      </c>
      <c r="K272">
        <f ca="1" t="shared" si="52"/>
        <v>30772</v>
      </c>
      <c r="L272">
        <f ca="1" t="shared" si="53"/>
        <v>3373</v>
      </c>
      <c r="M272">
        <f ca="1" t="shared" si="54"/>
        <v>0.023593424736</v>
      </c>
    </row>
    <row r="273" spans="1:13">
      <c r="A273" t="str">
        <f ca="1">OFFSET($N$2,(ROW(273:273)-2)/35,0)</f>
        <v>黑龙江省</v>
      </c>
      <c r="B273">
        <f ca="1">OFFSET($O$1,0,MOD(ROW(273:273)-2,35))</f>
        <v>2016</v>
      </c>
      <c r="C273">
        <f ca="1" t="shared" si="44"/>
        <v>0.3203928</v>
      </c>
      <c r="D273">
        <f ca="1" t="shared" si="45"/>
        <v>9</v>
      </c>
      <c r="E273">
        <f ca="1" t="shared" si="46"/>
        <v>2</v>
      </c>
      <c r="F273">
        <f ca="1" t="shared" si="47"/>
        <v>0.60197535216</v>
      </c>
      <c r="G273">
        <f ca="1" t="shared" si="48"/>
        <v>0.064563955092</v>
      </c>
      <c r="H273">
        <f ca="1" t="shared" si="49"/>
        <v>0.70747536132</v>
      </c>
      <c r="I273">
        <f ca="1" t="shared" si="50"/>
        <v>1894</v>
      </c>
      <c r="J273">
        <f ca="1" t="shared" si="51"/>
        <v>70</v>
      </c>
      <c r="K273">
        <f ca="1" t="shared" si="52"/>
        <v>25294</v>
      </c>
      <c r="L273">
        <f ca="1" t="shared" si="53"/>
        <v>4753</v>
      </c>
      <c r="M273">
        <f ca="1" t="shared" si="54"/>
        <v>0.023129613936</v>
      </c>
    </row>
    <row r="274" spans="1:13">
      <c r="A274" t="str">
        <f ca="1">OFFSET($N$2,(ROW(274:274)-2)/35,0)</f>
        <v>黑龙江省</v>
      </c>
      <c r="B274">
        <f ca="1">OFFSET($O$1,0,MOD(ROW(274:274)-2,35))</f>
        <v>2017</v>
      </c>
      <c r="C274">
        <f ca="1" t="shared" si="44"/>
        <v>0.3135972</v>
      </c>
      <c r="D274">
        <f ca="1" t="shared" si="45"/>
        <v>9</v>
      </c>
      <c r="E274">
        <f ca="1" t="shared" si="46"/>
        <v>2</v>
      </c>
      <c r="F274">
        <f ca="1" t="shared" si="47"/>
        <v>0.54036978856</v>
      </c>
      <c r="G274">
        <f ca="1" t="shared" si="48"/>
        <v>0.066100017816</v>
      </c>
      <c r="H274">
        <f ca="1" t="shared" si="49"/>
        <v>0.71802782898</v>
      </c>
      <c r="I274">
        <f ca="1" t="shared" si="50"/>
        <v>1823</v>
      </c>
      <c r="J274">
        <f ca="1" t="shared" si="51"/>
        <v>80</v>
      </c>
      <c r="K274">
        <f ca="1" t="shared" si="52"/>
        <v>32849</v>
      </c>
      <c r="L274">
        <f ca="1" t="shared" si="53"/>
        <v>4279</v>
      </c>
      <c r="M274">
        <f ca="1" t="shared" si="54"/>
        <v>0.02534313372</v>
      </c>
    </row>
    <row r="275" spans="1:13">
      <c r="A275" t="str">
        <f ca="1">OFFSET($N$2,(ROW(275:275)-2)/35,0)</f>
        <v>黑龙江省</v>
      </c>
      <c r="B275">
        <f ca="1">OFFSET($O$1,0,MOD(ROW(275:275)-2,35))</f>
        <v>2018</v>
      </c>
      <c r="C275">
        <f ca="1" t="shared" si="44"/>
        <v>0.33742632</v>
      </c>
      <c r="D275">
        <f ca="1" t="shared" si="45"/>
        <v>9</v>
      </c>
      <c r="E275">
        <f ca="1" t="shared" si="46"/>
        <v>2</v>
      </c>
      <c r="F275">
        <f ca="1" t="shared" si="47"/>
        <v>0.616567866992</v>
      </c>
      <c r="G275">
        <f ca="1" t="shared" si="48"/>
        <v>0.0676607256864</v>
      </c>
      <c r="H275">
        <f ca="1" t="shared" si="49"/>
        <v>0.841440014184</v>
      </c>
      <c r="I275">
        <f ca="1" t="shared" si="50"/>
        <v>1503</v>
      </c>
      <c r="J275">
        <f ca="1" t="shared" si="51"/>
        <v>256</v>
      </c>
      <c r="K275">
        <f ca="1" t="shared" si="52"/>
        <v>25003</v>
      </c>
      <c r="L275">
        <f ca="1" t="shared" si="53"/>
        <v>4530</v>
      </c>
      <c r="M275">
        <f ca="1" t="shared" si="54"/>
        <v>0.0251035541328</v>
      </c>
    </row>
    <row r="276" spans="1:13">
      <c r="A276" t="str">
        <f ca="1">OFFSET($N$2,(ROW(276:276)-2)/35,0)</f>
        <v>黑龙江省</v>
      </c>
      <c r="B276">
        <f ca="1">OFFSET($O$1,0,MOD(ROW(276:276)-2,35))</f>
        <v>2019</v>
      </c>
      <c r="C276">
        <f ca="1" t="shared" si="44"/>
        <v>0.35714952</v>
      </c>
      <c r="D276">
        <f ca="1" t="shared" si="45"/>
        <v>9</v>
      </c>
      <c r="E276">
        <f ca="1" t="shared" si="46"/>
        <v>2</v>
      </c>
      <c r="F276">
        <f ca="1" t="shared" si="47"/>
        <v>0.660762326952</v>
      </c>
      <c r="G276">
        <f ca="1" t="shared" si="48"/>
        <v>0.0811657999152</v>
      </c>
      <c r="H276">
        <f ca="1" t="shared" si="49"/>
        <v>0.811461566916</v>
      </c>
      <c r="I276">
        <f ca="1" t="shared" si="50"/>
        <v>1675</v>
      </c>
      <c r="J276">
        <f ca="1" t="shared" si="51"/>
        <v>234</v>
      </c>
      <c r="K276">
        <f ca="1" t="shared" si="52"/>
        <v>36731</v>
      </c>
      <c r="L276">
        <f ca="1" t="shared" si="53"/>
        <v>4052</v>
      </c>
      <c r="M276">
        <f ca="1" t="shared" si="54"/>
        <v>0.0269617274784</v>
      </c>
    </row>
    <row r="277" spans="1:13">
      <c r="A277" t="str">
        <f ca="1">OFFSET($N$2,(ROW(277:277)-2)/35,0)</f>
        <v>黑龙江省</v>
      </c>
      <c r="B277">
        <f ca="1">OFFSET($O$1,0,MOD(ROW(277:277)-2,35))</f>
        <v>2020</v>
      </c>
      <c r="C277">
        <f ca="1" t="shared" si="44"/>
        <v>0.3574368</v>
      </c>
      <c r="D277">
        <f ca="1" t="shared" si="45"/>
        <v>9</v>
      </c>
      <c r="E277">
        <f ca="1" t="shared" si="46"/>
        <v>2</v>
      </c>
      <c r="F277">
        <f ca="1" t="shared" si="47"/>
        <v>0.66796597728</v>
      </c>
      <c r="G277">
        <f ca="1" t="shared" si="48"/>
        <v>0.07567830648</v>
      </c>
      <c r="H277">
        <f ca="1" t="shared" si="49"/>
        <v>0.78741539856</v>
      </c>
      <c r="I277">
        <f ca="1" t="shared" si="50"/>
        <v>1617</v>
      </c>
      <c r="J277">
        <f ca="1" t="shared" si="51"/>
        <v>246</v>
      </c>
      <c r="K277">
        <f ca="1" t="shared" si="52"/>
        <v>35429</v>
      </c>
      <c r="L277">
        <f ca="1" t="shared" si="53"/>
        <v>3832</v>
      </c>
      <c r="M277">
        <f ca="1" t="shared" si="54"/>
        <v>0.0281353824</v>
      </c>
    </row>
    <row r="278" spans="1:13">
      <c r="A278" t="str">
        <f ca="1">OFFSET($N$2,(ROW(278:278)-2)/35,0)</f>
        <v>黑龙江省</v>
      </c>
      <c r="B278">
        <f ca="1">OFFSET($O$1,0,MOD(ROW(278:278)-2,35))</f>
        <v>2021</v>
      </c>
      <c r="C278">
        <f ca="1" t="shared" si="44"/>
        <v>0.35342328</v>
      </c>
      <c r="D278">
        <f ca="1" t="shared" si="45"/>
        <v>9</v>
      </c>
      <c r="E278">
        <f ca="1" t="shared" si="46"/>
        <v>3</v>
      </c>
      <c r="F278">
        <f ca="1" t="shared" si="47"/>
        <v>0.635443276664</v>
      </c>
      <c r="G278">
        <f ca="1" t="shared" si="48"/>
        <v>0.0711211337508</v>
      </c>
      <c r="H278">
        <f ca="1" t="shared" si="49"/>
        <v>0.86871442224</v>
      </c>
      <c r="I278">
        <f ca="1" t="shared" si="50"/>
        <v>2043</v>
      </c>
      <c r="J278">
        <f ca="1" t="shared" si="51"/>
        <v>345</v>
      </c>
      <c r="K278">
        <f ca="1" t="shared" si="52"/>
        <v>29849</v>
      </c>
      <c r="L278">
        <f ca="1" t="shared" si="53"/>
        <v>6167</v>
      </c>
      <c r="M278">
        <f ca="1" t="shared" si="54"/>
        <v>0.026486550384</v>
      </c>
    </row>
    <row r="279" spans="1:13">
      <c r="A279" t="str">
        <f ca="1">OFFSET($N$2,(ROW(279:279)-2)/35,0)</f>
        <v>黑龙江省</v>
      </c>
      <c r="B279">
        <f ca="1">OFFSET($O$1,0,MOD(ROW(279:279)-2,35))</f>
        <v>2022</v>
      </c>
      <c r="C279">
        <f ca="1" t="shared" si="44"/>
        <v>0.35537544</v>
      </c>
      <c r="D279">
        <f ca="1" t="shared" si="45"/>
        <v>9</v>
      </c>
      <c r="E279">
        <f ca="1" t="shared" si="46"/>
        <v>3</v>
      </c>
      <c r="F279">
        <f ca="1" t="shared" si="47"/>
        <v>0.655715070192</v>
      </c>
      <c r="G279">
        <f ca="1" t="shared" si="48"/>
        <v>0.0852581218104</v>
      </c>
      <c r="H279">
        <f ca="1" t="shared" si="49"/>
        <v>0.846575373168</v>
      </c>
      <c r="I279">
        <f ca="1" t="shared" si="50"/>
        <v>1771</v>
      </c>
      <c r="J279">
        <f ca="1" t="shared" si="51"/>
        <v>346</v>
      </c>
      <c r="K279">
        <f ca="1" t="shared" si="52"/>
        <v>24851</v>
      </c>
      <c r="L279">
        <f ca="1" t="shared" si="53"/>
        <v>4728</v>
      </c>
      <c r="M279">
        <f ca="1" t="shared" si="54"/>
        <v>0.0263048900688</v>
      </c>
    </row>
    <row r="280" spans="1:13">
      <c r="A280" t="str">
        <f ca="1">OFFSET($N$2,(ROW(280:280)-2)/35,0)</f>
        <v>黑龙江省</v>
      </c>
      <c r="B280">
        <f ca="1">OFFSET($O$1,0,MOD(ROW(280:280)-2,35))</f>
        <v>2023</v>
      </c>
      <c r="C280">
        <f ca="1" t="shared" si="44"/>
        <v>0.39157692</v>
      </c>
      <c r="D280">
        <f ca="1" t="shared" si="45"/>
        <v>9</v>
      </c>
      <c r="E280">
        <f ca="1" t="shared" si="46"/>
        <v>3</v>
      </c>
      <c r="F280">
        <f ca="1" t="shared" si="47"/>
        <v>0.711534421332</v>
      </c>
      <c r="G280">
        <f ca="1" t="shared" si="48"/>
        <v>0.0791983899546</v>
      </c>
      <c r="H280">
        <f ca="1" t="shared" si="49"/>
        <v>0.932892854208</v>
      </c>
      <c r="I280">
        <f ca="1" t="shared" si="50"/>
        <v>1925</v>
      </c>
      <c r="J280">
        <f ca="1" t="shared" si="51"/>
        <v>265</v>
      </c>
      <c r="K280">
        <f ca="1" t="shared" si="52"/>
        <v>27378</v>
      </c>
      <c r="L280">
        <f ca="1" t="shared" si="53"/>
        <v>6270</v>
      </c>
      <c r="M280">
        <f ca="1" t="shared" si="54"/>
        <v>0.032358238482</v>
      </c>
    </row>
    <row r="281" spans="1:13">
      <c r="A281" t="str">
        <f ca="1">OFFSET($N$2,(ROW(281:281)-2)/35,0)</f>
        <v>黑龙江省</v>
      </c>
      <c r="B281">
        <f ca="1">OFFSET($O$1,0,MOD(ROW(281:281)-2,35))</f>
        <v>2024</v>
      </c>
      <c r="C281">
        <f ca="1" t="shared" si="44"/>
        <v>0.39314352</v>
      </c>
      <c r="D281">
        <f ca="1" t="shared" si="45"/>
        <v>9</v>
      </c>
      <c r="E281">
        <f ca="1" t="shared" si="46"/>
        <v>3</v>
      </c>
      <c r="F281">
        <f ca="1" t="shared" si="47"/>
        <v>0.73406447576</v>
      </c>
      <c r="G281">
        <f ca="1" t="shared" si="48"/>
        <v>0.0793599509472</v>
      </c>
      <c r="H281">
        <f ca="1" t="shared" si="49"/>
        <v>0.884848120464</v>
      </c>
      <c r="I281">
        <f ca="1" t="shared" si="50"/>
        <v>2210</v>
      </c>
      <c r="J281">
        <f ca="1" t="shared" si="51"/>
        <v>342</v>
      </c>
      <c r="K281">
        <f ca="1" t="shared" si="52"/>
        <v>45132</v>
      </c>
      <c r="L281">
        <f ca="1" t="shared" si="53"/>
        <v>5104</v>
      </c>
      <c r="M281">
        <f ca="1" t="shared" si="54"/>
        <v>0.03296789232</v>
      </c>
    </row>
    <row r="282" spans="1:13">
      <c r="A282" t="str">
        <f ca="1">OFFSET($N$2,(ROW(282:282)-2)/35,0)</f>
        <v>上海市</v>
      </c>
      <c r="B282">
        <f ca="1">OFFSET($O$1,0,MOD(ROW(282:282)-2,35))</f>
        <v>1990</v>
      </c>
      <c r="C282">
        <f ca="1" t="shared" si="44"/>
        <v>0.1332996</v>
      </c>
      <c r="D282">
        <f ca="1" t="shared" si="45"/>
        <v>4</v>
      </c>
      <c r="E282">
        <f ca="1" t="shared" si="46"/>
        <v>0</v>
      </c>
      <c r="F282">
        <f ca="1" t="shared" si="47"/>
        <v>0.2646885724</v>
      </c>
      <c r="G282">
        <f ca="1" t="shared" si="48"/>
        <v>0.029223937806</v>
      </c>
      <c r="H282">
        <f ca="1" t="shared" si="49"/>
        <v>0.27585019224</v>
      </c>
      <c r="I282">
        <f ca="1" t="shared" si="50"/>
        <v>679</v>
      </c>
      <c r="J282">
        <f ca="1" t="shared" si="51"/>
        <v>14</v>
      </c>
      <c r="K282">
        <f ca="1" t="shared" si="52"/>
        <v>9145</v>
      </c>
      <c r="L282">
        <f ca="1" t="shared" si="53"/>
        <v>1563</v>
      </c>
      <c r="M282">
        <f ca="1" t="shared" si="54"/>
        <v>0.009624992832</v>
      </c>
    </row>
    <row r="283" spans="1:13">
      <c r="A283" t="str">
        <f ca="1">OFFSET($N$2,(ROW(283:283)-2)/35,0)</f>
        <v>上海市</v>
      </c>
      <c r="B283">
        <f ca="1">OFFSET($O$1,0,MOD(ROW(283:283)-2,35))</f>
        <v>1991</v>
      </c>
      <c r="C283">
        <f ca="1" t="shared" si="44"/>
        <v>0.14397768</v>
      </c>
      <c r="D283">
        <f ca="1" t="shared" si="45"/>
        <v>4</v>
      </c>
      <c r="E283">
        <f ca="1" t="shared" si="46"/>
        <v>0</v>
      </c>
      <c r="F283">
        <f ca="1" t="shared" si="47"/>
        <v>0.287081895408</v>
      </c>
      <c r="G283">
        <f ca="1" t="shared" si="48"/>
        <v>0.0329248158624</v>
      </c>
      <c r="H283">
        <f ca="1" t="shared" si="49"/>
        <v>0.34205497326</v>
      </c>
      <c r="I283">
        <f ca="1" t="shared" si="50"/>
        <v>685</v>
      </c>
      <c r="J283">
        <f ca="1" t="shared" si="51"/>
        <v>28</v>
      </c>
      <c r="K283">
        <f ca="1" t="shared" si="52"/>
        <v>9439</v>
      </c>
      <c r="L283">
        <f ca="1" t="shared" si="53"/>
        <v>2128</v>
      </c>
      <c r="M283">
        <f ca="1" t="shared" si="54"/>
        <v>0.0106467380712</v>
      </c>
    </row>
    <row r="284" spans="1:13">
      <c r="A284" t="str">
        <f ca="1">OFFSET($N$2,(ROW(284:284)-2)/35,0)</f>
        <v>上海市</v>
      </c>
      <c r="B284">
        <f ca="1">OFFSET($O$1,0,MOD(ROW(284:284)-2,35))</f>
        <v>1992</v>
      </c>
      <c r="C284">
        <f ca="1" t="shared" si="44"/>
        <v>0.1557864</v>
      </c>
      <c r="D284">
        <f ca="1" t="shared" si="45"/>
        <v>5</v>
      </c>
      <c r="E284">
        <f ca="1" t="shared" si="46"/>
        <v>1</v>
      </c>
      <c r="F284">
        <f ca="1" t="shared" si="47"/>
        <v>0.26152901544</v>
      </c>
      <c r="G284">
        <f ca="1" t="shared" si="48"/>
        <v>0.036994596408</v>
      </c>
      <c r="H284">
        <f ca="1" t="shared" si="49"/>
        <v>0.38421599832</v>
      </c>
      <c r="I284">
        <f ca="1" t="shared" si="50"/>
        <v>932</v>
      </c>
      <c r="J284">
        <f ca="1" t="shared" si="51"/>
        <v>20</v>
      </c>
      <c r="K284">
        <f ca="1" t="shared" si="52"/>
        <v>13242</v>
      </c>
      <c r="L284">
        <f ca="1" t="shared" si="53"/>
        <v>2580</v>
      </c>
      <c r="M284">
        <f ca="1" t="shared" si="54"/>
        <v>0.0125241138</v>
      </c>
    </row>
    <row r="285" spans="1:13">
      <c r="A285" t="str">
        <f ca="1">OFFSET($N$2,(ROW(285:285)-2)/35,0)</f>
        <v>上海市</v>
      </c>
      <c r="B285">
        <f ca="1">OFFSET($O$1,0,MOD(ROW(285:285)-2,35))</f>
        <v>1993</v>
      </c>
      <c r="C285">
        <f ca="1" t="shared" si="44"/>
        <v>0.16594032</v>
      </c>
      <c r="D285">
        <f ca="1" t="shared" si="45"/>
        <v>6</v>
      </c>
      <c r="E285">
        <f ca="1" t="shared" si="46"/>
        <v>1</v>
      </c>
      <c r="F285">
        <f ca="1" t="shared" si="47"/>
        <v>0.2776734688</v>
      </c>
      <c r="G285">
        <f ca="1" t="shared" si="48"/>
        <v>0.0366379632528</v>
      </c>
      <c r="H285">
        <f ca="1" t="shared" si="49"/>
        <v>0.390631810296</v>
      </c>
      <c r="I285">
        <f ca="1" t="shared" si="50"/>
        <v>703</v>
      </c>
      <c r="J285">
        <f ca="1" t="shared" si="51"/>
        <v>27</v>
      </c>
      <c r="K285">
        <f ca="1" t="shared" si="52"/>
        <v>15837</v>
      </c>
      <c r="L285">
        <f ca="1" t="shared" si="53"/>
        <v>1827</v>
      </c>
      <c r="M285">
        <f ca="1" t="shared" si="54"/>
        <v>0.012460932744</v>
      </c>
    </row>
    <row r="286" spans="1:13">
      <c r="A286" t="str">
        <f ca="1">OFFSET($N$2,(ROW(286:286)-2)/35,0)</f>
        <v>上海市</v>
      </c>
      <c r="B286">
        <f ca="1">OFFSET($O$1,0,MOD(ROW(286:286)-2,35))</f>
        <v>1994</v>
      </c>
      <c r="C286">
        <f ca="1" t="shared" si="44"/>
        <v>0.18326784</v>
      </c>
      <c r="D286">
        <f ca="1" t="shared" si="45"/>
        <v>6</v>
      </c>
      <c r="E286">
        <f ca="1" t="shared" si="46"/>
        <v>1</v>
      </c>
      <c r="F286">
        <f ca="1" t="shared" si="47"/>
        <v>0.352979968768</v>
      </c>
      <c r="G286">
        <f ca="1" t="shared" si="48"/>
        <v>0.0428379412608</v>
      </c>
      <c r="H286">
        <f ca="1" t="shared" si="49"/>
        <v>0.41940845184</v>
      </c>
      <c r="I286">
        <f ca="1" t="shared" si="50"/>
        <v>943</v>
      </c>
      <c r="J286">
        <f ca="1" t="shared" si="51"/>
        <v>28</v>
      </c>
      <c r="K286">
        <f ca="1" t="shared" si="52"/>
        <v>11693</v>
      </c>
      <c r="L286">
        <f ca="1" t="shared" si="53"/>
        <v>2063</v>
      </c>
      <c r="M286">
        <f ca="1" t="shared" si="54"/>
        <v>0.0153717209856</v>
      </c>
    </row>
    <row r="287" spans="1:13">
      <c r="A287" t="str">
        <f ca="1">OFFSET($N$2,(ROW(287:287)-2)/35,0)</f>
        <v>上海市</v>
      </c>
      <c r="B287">
        <f ca="1">OFFSET($O$1,0,MOD(ROW(287:287)-2,35))</f>
        <v>1995</v>
      </c>
      <c r="C287">
        <f ca="1" t="shared" si="44"/>
        <v>0.1953</v>
      </c>
      <c r="D287">
        <f ca="1" t="shared" si="45"/>
        <v>6</v>
      </c>
      <c r="E287">
        <f ca="1" t="shared" si="46"/>
        <v>1</v>
      </c>
      <c r="F287">
        <f ca="1" t="shared" si="47"/>
        <v>0.37412319</v>
      </c>
      <c r="G287">
        <f ca="1" t="shared" si="48"/>
        <v>0.042356664</v>
      </c>
      <c r="H287">
        <f ca="1" t="shared" si="49"/>
        <v>0.41817636</v>
      </c>
      <c r="I287">
        <f ca="1" t="shared" si="50"/>
        <v>901</v>
      </c>
      <c r="J287">
        <f ca="1" t="shared" si="51"/>
        <v>21</v>
      </c>
      <c r="K287">
        <f ca="1" t="shared" si="52"/>
        <v>20874</v>
      </c>
      <c r="L287">
        <f ca="1" t="shared" si="53"/>
        <v>3473</v>
      </c>
      <c r="M287">
        <f ca="1" t="shared" si="54"/>
        <v>0.015897978</v>
      </c>
    </row>
    <row r="288" spans="1:13">
      <c r="A288" t="str">
        <f ca="1">OFFSET($N$2,(ROW(288:288)-2)/35,0)</f>
        <v>上海市</v>
      </c>
      <c r="B288">
        <f ca="1">OFFSET($O$1,0,MOD(ROW(288:288)-2,35))</f>
        <v>1996</v>
      </c>
      <c r="C288">
        <f ca="1" t="shared" si="44"/>
        <v>0.2122848</v>
      </c>
      <c r="D288">
        <f ca="1" t="shared" si="45"/>
        <v>6</v>
      </c>
      <c r="E288">
        <f ca="1" t="shared" si="46"/>
        <v>1</v>
      </c>
      <c r="F288">
        <f ca="1" t="shared" si="47"/>
        <v>0.35478451008</v>
      </c>
      <c r="G288">
        <f ca="1" t="shared" si="48"/>
        <v>0.049158791136</v>
      </c>
      <c r="H288">
        <f ca="1" t="shared" si="49"/>
        <v>0.513729216</v>
      </c>
      <c r="I288">
        <f ca="1" t="shared" si="50"/>
        <v>979</v>
      </c>
      <c r="J288">
        <f ca="1" t="shared" si="51"/>
        <v>28</v>
      </c>
      <c r="K288">
        <f ca="1" t="shared" si="52"/>
        <v>23979</v>
      </c>
      <c r="L288">
        <f ca="1" t="shared" si="53"/>
        <v>2729</v>
      </c>
      <c r="M288">
        <f ca="1" t="shared" si="54"/>
        <v>0.01598504544</v>
      </c>
    </row>
    <row r="289" spans="1:13">
      <c r="A289" t="str">
        <f ca="1">OFFSET($N$2,(ROW(289:289)-2)/35,0)</f>
        <v>上海市</v>
      </c>
      <c r="B289">
        <f ca="1">OFFSET($O$1,0,MOD(ROW(289:289)-2,35))</f>
        <v>1997</v>
      </c>
      <c r="C289">
        <f ca="1" t="shared" si="44"/>
        <v>0.2261952</v>
      </c>
      <c r="D289">
        <f ca="1" t="shared" si="45"/>
        <v>6</v>
      </c>
      <c r="E289">
        <f ca="1" t="shared" si="46"/>
        <v>1</v>
      </c>
      <c r="F289">
        <f ca="1" t="shared" si="47"/>
        <v>0.42896411712</v>
      </c>
      <c r="G289">
        <f ca="1" t="shared" si="48"/>
        <v>0.056428916544</v>
      </c>
      <c r="H289">
        <f ca="1" t="shared" si="49"/>
        <v>0.54014282784</v>
      </c>
      <c r="I289">
        <f ca="1" t="shared" si="50"/>
        <v>1127</v>
      </c>
      <c r="J289">
        <f ca="1" t="shared" si="51"/>
        <v>40</v>
      </c>
      <c r="K289">
        <f ca="1" t="shared" si="52"/>
        <v>14569</v>
      </c>
      <c r="L289">
        <f ca="1" t="shared" si="53"/>
        <v>3549</v>
      </c>
      <c r="M289">
        <f ca="1" t="shared" si="54"/>
        <v>0.016935880896</v>
      </c>
    </row>
    <row r="290" spans="1:13">
      <c r="A290" t="str">
        <f ca="1">OFFSET($N$2,(ROW(290:290)-2)/35,0)</f>
        <v>上海市</v>
      </c>
      <c r="B290">
        <f ca="1">OFFSET($O$1,0,MOD(ROW(290:290)-2,35))</f>
        <v>1998</v>
      </c>
      <c r="C290">
        <f ca="1" t="shared" si="44"/>
        <v>0.23996952</v>
      </c>
      <c r="D290">
        <f ca="1" t="shared" si="45"/>
        <v>7</v>
      </c>
      <c r="E290">
        <f ca="1" t="shared" si="46"/>
        <v>1</v>
      </c>
      <c r="F290">
        <f ca="1" t="shared" si="47"/>
        <v>0.42242634504</v>
      </c>
      <c r="G290">
        <f ca="1" t="shared" si="48"/>
        <v>0.0569171706012</v>
      </c>
      <c r="H290">
        <f ca="1" t="shared" si="49"/>
        <v>0.529384759596</v>
      </c>
      <c r="I290">
        <f ca="1" t="shared" si="50"/>
        <v>1331</v>
      </c>
      <c r="J290">
        <f ca="1" t="shared" si="51"/>
        <v>27</v>
      </c>
      <c r="K290">
        <f ca="1" t="shared" si="52"/>
        <v>23812</v>
      </c>
      <c r="L290">
        <f ca="1" t="shared" si="53"/>
        <v>2741</v>
      </c>
      <c r="M290">
        <f ca="1" t="shared" si="54"/>
        <v>0.0178256215728</v>
      </c>
    </row>
    <row r="291" spans="1:13">
      <c r="A291" t="str">
        <f ca="1">OFFSET($N$2,(ROW(291:291)-2)/35,0)</f>
        <v>上海市</v>
      </c>
      <c r="B291">
        <f ca="1">OFFSET($O$1,0,MOD(ROW(291:291)-2,35))</f>
        <v>1999</v>
      </c>
      <c r="C291">
        <f ca="1" t="shared" si="44"/>
        <v>0.24062892</v>
      </c>
      <c r="D291">
        <f ca="1" t="shared" si="45"/>
        <v>8</v>
      </c>
      <c r="E291">
        <f ca="1" t="shared" si="46"/>
        <v>1</v>
      </c>
      <c r="F291">
        <f ca="1" t="shared" si="47"/>
        <v>0.45025681414</v>
      </c>
      <c r="G291">
        <f ca="1" t="shared" si="48"/>
        <v>0.0527615001438</v>
      </c>
      <c r="H291">
        <f ca="1" t="shared" si="49"/>
        <v>0.48582978948</v>
      </c>
      <c r="I291">
        <f ca="1" t="shared" si="50"/>
        <v>1248</v>
      </c>
      <c r="J291">
        <f ca="1" t="shared" si="51"/>
        <v>47</v>
      </c>
      <c r="K291">
        <f ca="1" t="shared" si="52"/>
        <v>14884</v>
      </c>
      <c r="L291">
        <f ca="1" t="shared" si="53"/>
        <v>3406</v>
      </c>
      <c r="M291">
        <f ca="1" t="shared" si="54"/>
        <v>0.0194493480924</v>
      </c>
    </row>
    <row r="292" spans="1:13">
      <c r="A292" t="str">
        <f ca="1">OFFSET($N$2,(ROW(292:292)-2)/35,0)</f>
        <v>上海市</v>
      </c>
      <c r="B292">
        <f ca="1">OFFSET($O$1,0,MOD(ROW(292:292)-2,35))</f>
        <v>2000</v>
      </c>
      <c r="C292">
        <f ca="1" t="shared" si="44"/>
        <v>0.2629536</v>
      </c>
      <c r="D292">
        <f ca="1" t="shared" si="45"/>
        <v>8</v>
      </c>
      <c r="E292">
        <f ca="1" t="shared" si="46"/>
        <v>1</v>
      </c>
      <c r="F292">
        <f ca="1" t="shared" si="47"/>
        <v>0.45520774208</v>
      </c>
      <c r="G292">
        <f ca="1" t="shared" si="48"/>
        <v>0.065729196624</v>
      </c>
      <c r="H292">
        <f ca="1" t="shared" si="49"/>
        <v>0.54938895648</v>
      </c>
      <c r="I292">
        <f ca="1" t="shared" si="50"/>
        <v>1450</v>
      </c>
      <c r="J292">
        <f ca="1" t="shared" si="51"/>
        <v>31</v>
      </c>
      <c r="K292">
        <f ca="1" t="shared" si="52"/>
        <v>21856</v>
      </c>
      <c r="L292">
        <f ca="1" t="shared" si="53"/>
        <v>4779</v>
      </c>
      <c r="M292">
        <f ca="1" t="shared" si="54"/>
        <v>0.0194210016</v>
      </c>
    </row>
    <row r="293" spans="1:13">
      <c r="A293" t="str">
        <f ca="1">OFFSET($N$2,(ROW(293:293)-2)/35,0)</f>
        <v>上海市</v>
      </c>
      <c r="B293">
        <f ca="1">OFFSET($O$1,0,MOD(ROW(293:293)-2,35))</f>
        <v>2001</v>
      </c>
      <c r="C293">
        <f ca="1" t="shared" si="44"/>
        <v>0.27345528</v>
      </c>
      <c r="D293">
        <f ca="1" t="shared" si="45"/>
        <v>8</v>
      </c>
      <c r="E293">
        <f ca="1" t="shared" si="46"/>
        <v>1</v>
      </c>
      <c r="F293">
        <f ca="1" t="shared" si="47"/>
        <v>0.47143690272</v>
      </c>
      <c r="G293">
        <f ca="1" t="shared" si="48"/>
        <v>0.0639762300324</v>
      </c>
      <c r="H293">
        <f ca="1" t="shared" si="49"/>
        <v>0.564917590188</v>
      </c>
      <c r="I293">
        <f ca="1" t="shared" si="50"/>
        <v>1199</v>
      </c>
      <c r="J293">
        <f ca="1" t="shared" si="51"/>
        <v>29</v>
      </c>
      <c r="K293">
        <f ca="1" t="shared" si="52"/>
        <v>18901</v>
      </c>
      <c r="L293">
        <f ca="1" t="shared" si="53"/>
        <v>3789</v>
      </c>
      <c r="M293">
        <f ca="1" t="shared" si="54"/>
        <v>0.0209122972128</v>
      </c>
    </row>
    <row r="294" spans="1:13">
      <c r="A294" t="str">
        <f ca="1">OFFSET($N$2,(ROW(294:294)-2)/35,0)</f>
        <v>上海市</v>
      </c>
      <c r="B294">
        <f ca="1">OFFSET($O$1,0,MOD(ROW(294:294)-2,35))</f>
        <v>2002</v>
      </c>
      <c r="C294">
        <f ca="1" t="shared" si="44"/>
        <v>0.28217112</v>
      </c>
      <c r="D294">
        <f ca="1" t="shared" si="45"/>
        <v>8</v>
      </c>
      <c r="E294">
        <f ca="1" t="shared" si="46"/>
        <v>1</v>
      </c>
      <c r="F294">
        <f ca="1" t="shared" si="47"/>
        <v>0.498060243912</v>
      </c>
      <c r="G294">
        <f ca="1" t="shared" si="48"/>
        <v>0.0577999322208</v>
      </c>
      <c r="H294">
        <f ca="1" t="shared" si="49"/>
        <v>0.680117050536</v>
      </c>
      <c r="I294">
        <f ca="1" t="shared" si="50"/>
        <v>1429</v>
      </c>
      <c r="J294">
        <f ca="1" t="shared" si="51"/>
        <v>55</v>
      </c>
      <c r="K294">
        <f ca="1" t="shared" si="52"/>
        <v>20020</v>
      </c>
      <c r="L294">
        <f ca="1" t="shared" si="53"/>
        <v>3472</v>
      </c>
      <c r="M294">
        <f ca="1" t="shared" si="54"/>
        <v>0.0217308041544</v>
      </c>
    </row>
    <row r="295" spans="1:13">
      <c r="A295" t="str">
        <f ca="1">OFFSET($N$2,(ROW(295:295)-2)/35,0)</f>
        <v>上海市</v>
      </c>
      <c r="B295">
        <f ca="1">OFFSET($O$1,0,MOD(ROW(295:295)-2,35))</f>
        <v>2003</v>
      </c>
      <c r="C295">
        <f ca="1" t="shared" si="44"/>
        <v>0.3073812</v>
      </c>
      <c r="D295">
        <f ca="1" t="shared" si="45"/>
        <v>8</v>
      </c>
      <c r="E295">
        <f ca="1" t="shared" si="46"/>
        <v>1</v>
      </c>
      <c r="F295">
        <f ca="1" t="shared" si="47"/>
        <v>0.51382865996</v>
      </c>
      <c r="G295">
        <f ca="1" t="shared" si="48"/>
        <v>0.069820102674</v>
      </c>
      <c r="H295">
        <f ca="1" t="shared" si="49"/>
        <v>0.66231427164</v>
      </c>
      <c r="I295">
        <f ca="1" t="shared" si="50"/>
        <v>1572</v>
      </c>
      <c r="J295">
        <f ca="1" t="shared" si="51"/>
        <v>60</v>
      </c>
      <c r="K295">
        <f ca="1" t="shared" si="52"/>
        <v>23196</v>
      </c>
      <c r="L295">
        <f ca="1" t="shared" si="53"/>
        <v>3271</v>
      </c>
      <c r="M295">
        <f ca="1" t="shared" si="54"/>
        <v>0.023847950844</v>
      </c>
    </row>
    <row r="296" spans="1:13">
      <c r="A296" t="str">
        <f ca="1">OFFSET($N$2,(ROW(296:296)-2)/35,0)</f>
        <v>上海市</v>
      </c>
      <c r="B296">
        <f ca="1">OFFSET($O$1,0,MOD(ROW(296:296)-2,35))</f>
        <v>2004</v>
      </c>
      <c r="C296">
        <f ca="1" t="shared" si="44"/>
        <v>0.31417344</v>
      </c>
      <c r="D296">
        <f ca="1" t="shared" si="45"/>
        <v>8</v>
      </c>
      <c r="E296">
        <f ca="1" t="shared" si="46"/>
        <v>1</v>
      </c>
      <c r="F296">
        <f ca="1" t="shared" si="47"/>
        <v>0.603987965952</v>
      </c>
      <c r="G296">
        <f ca="1" t="shared" si="48"/>
        <v>0.0661366508544</v>
      </c>
      <c r="H296">
        <f ca="1" t="shared" si="49"/>
        <v>0.73461604608</v>
      </c>
      <c r="I296">
        <f ca="1" t="shared" si="50"/>
        <v>1830</v>
      </c>
      <c r="J296">
        <f ca="1" t="shared" si="51"/>
        <v>61</v>
      </c>
      <c r="K296">
        <f ca="1" t="shared" si="52"/>
        <v>28675</v>
      </c>
      <c r="L296">
        <f ca="1" t="shared" si="53"/>
        <v>5028</v>
      </c>
      <c r="M296">
        <f ca="1" t="shared" si="54"/>
        <v>0.0253340485632</v>
      </c>
    </row>
    <row r="297" spans="1:13">
      <c r="A297" t="str">
        <f ca="1">OFFSET($N$2,(ROW(297:297)-2)/35,0)</f>
        <v>上海市</v>
      </c>
      <c r="B297">
        <f ca="1">OFFSET($O$1,0,MOD(ROW(297:297)-2,35))</f>
        <v>2005</v>
      </c>
      <c r="C297">
        <f ca="1" t="shared" si="44"/>
        <v>0.328608</v>
      </c>
      <c r="D297">
        <f ca="1" t="shared" si="45"/>
        <v>8</v>
      </c>
      <c r="E297">
        <f ca="1" t="shared" si="46"/>
        <v>2</v>
      </c>
      <c r="F297">
        <f ca="1" t="shared" si="47"/>
        <v>0.6335671776</v>
      </c>
      <c r="G297">
        <f ca="1" t="shared" si="48"/>
        <v>0.07400580768</v>
      </c>
      <c r="H297">
        <f ca="1" t="shared" si="49"/>
        <v>0.6939543744</v>
      </c>
      <c r="I297">
        <f ca="1" t="shared" si="50"/>
        <v>1722</v>
      </c>
      <c r="J297">
        <f ca="1" t="shared" si="51"/>
        <v>62</v>
      </c>
      <c r="K297">
        <f ca="1" t="shared" si="52"/>
        <v>33250</v>
      </c>
      <c r="L297">
        <f ca="1" t="shared" si="53"/>
        <v>5877</v>
      </c>
      <c r="M297">
        <f ca="1" t="shared" si="54"/>
        <v>0.02506668768</v>
      </c>
    </row>
    <row r="298" spans="1:13">
      <c r="A298" t="str">
        <f ca="1">OFFSET($N$2,(ROW(298:298)-2)/35,0)</f>
        <v>上海市</v>
      </c>
      <c r="B298">
        <f ca="1">OFFSET($O$1,0,MOD(ROW(298:298)-2,35))</f>
        <v>2006</v>
      </c>
      <c r="C298">
        <f ca="1" t="shared" si="44"/>
        <v>0.33537504</v>
      </c>
      <c r="D298">
        <f ca="1" t="shared" si="45"/>
        <v>8</v>
      </c>
      <c r="E298">
        <f ca="1" t="shared" si="46"/>
        <v>2</v>
      </c>
      <c r="F298">
        <f ca="1" t="shared" si="47"/>
        <v>0.654249628032</v>
      </c>
      <c r="G298">
        <f ca="1" t="shared" si="48"/>
        <v>0.0711431072352</v>
      </c>
      <c r="H298">
        <f ca="1" t="shared" si="49"/>
        <v>0.811506984288</v>
      </c>
      <c r="I298">
        <f ca="1" t="shared" si="50"/>
        <v>1622</v>
      </c>
      <c r="J298">
        <f ca="1" t="shared" si="51"/>
        <v>39</v>
      </c>
      <c r="K298">
        <f ca="1" t="shared" si="52"/>
        <v>26185</v>
      </c>
      <c r="L298">
        <f ca="1" t="shared" si="53"/>
        <v>3891</v>
      </c>
      <c r="M298">
        <f ca="1" t="shared" si="54"/>
        <v>0.0244004505888</v>
      </c>
    </row>
    <row r="299" spans="1:13">
      <c r="A299" t="str">
        <f ca="1">OFFSET($N$2,(ROW(299:299)-2)/35,0)</f>
        <v>上海市</v>
      </c>
      <c r="B299">
        <f ca="1">OFFSET($O$1,0,MOD(ROW(299:299)-2,35))</f>
        <v>2007</v>
      </c>
      <c r="C299">
        <f ca="1" t="shared" si="44"/>
        <v>0.35253792</v>
      </c>
      <c r="D299">
        <f ca="1" t="shared" si="45"/>
        <v>8</v>
      </c>
      <c r="E299">
        <f ca="1" t="shared" si="46"/>
        <v>2</v>
      </c>
      <c r="F299">
        <f ca="1" t="shared" si="47"/>
        <v>0.627211964736</v>
      </c>
      <c r="G299">
        <f ca="1" t="shared" si="48"/>
        <v>0.0817605944064</v>
      </c>
      <c r="H299">
        <f ca="1" t="shared" si="49"/>
        <v>0.770982804144</v>
      </c>
      <c r="I299">
        <f ca="1" t="shared" si="50"/>
        <v>1455</v>
      </c>
      <c r="J299">
        <f ca="1" t="shared" si="51"/>
        <v>39</v>
      </c>
      <c r="K299">
        <f ca="1" t="shared" si="52"/>
        <v>32663</v>
      </c>
      <c r="L299">
        <f ca="1" t="shared" si="53"/>
        <v>6923</v>
      </c>
      <c r="M299">
        <f ca="1" t="shared" si="54"/>
        <v>0.0261603281664</v>
      </c>
    </row>
    <row r="300" spans="1:13">
      <c r="A300" t="str">
        <f ca="1">OFFSET($N$2,(ROW(300:300)-2)/35,0)</f>
        <v>上海市</v>
      </c>
      <c r="B300">
        <f ca="1">OFFSET($O$1,0,MOD(ROW(300:300)-2,35))</f>
        <v>2008</v>
      </c>
      <c r="C300">
        <f ca="1" t="shared" si="44"/>
        <v>0.3671472</v>
      </c>
      <c r="D300">
        <f ca="1" t="shared" si="45"/>
        <v>8</v>
      </c>
      <c r="E300">
        <f ca="1" t="shared" si="46"/>
        <v>3</v>
      </c>
      <c r="F300">
        <f ca="1" t="shared" si="47"/>
        <v>0.68293050672</v>
      </c>
      <c r="G300">
        <f ca="1" t="shared" si="48"/>
        <v>0.074297743128</v>
      </c>
      <c r="H300">
        <f ca="1" t="shared" si="49"/>
        <v>0.87597650448</v>
      </c>
      <c r="I300">
        <f ca="1" t="shared" si="50"/>
        <v>1751</v>
      </c>
      <c r="J300">
        <f ca="1" t="shared" si="51"/>
        <v>55</v>
      </c>
      <c r="K300">
        <f ca="1" t="shared" si="52"/>
        <v>37969</v>
      </c>
      <c r="L300">
        <f ca="1" t="shared" si="53"/>
        <v>6446</v>
      </c>
      <c r="M300">
        <f ca="1" t="shared" si="54"/>
        <v>0.026965912848</v>
      </c>
    </row>
    <row r="301" spans="1:13">
      <c r="A301" t="str">
        <f ca="1">OFFSET($N$2,(ROW(301:301)-2)/35,0)</f>
        <v>上海市</v>
      </c>
      <c r="B301">
        <f ca="1">OFFSET($O$1,0,MOD(ROW(301:301)-2,35))</f>
        <v>2009</v>
      </c>
      <c r="C301">
        <f ca="1" t="shared" si="44"/>
        <v>0.370881</v>
      </c>
      <c r="D301">
        <f ca="1" t="shared" si="45"/>
        <v>8</v>
      </c>
      <c r="E301">
        <f ca="1" t="shared" si="46"/>
        <v>3</v>
      </c>
      <c r="F301">
        <f ca="1" t="shared" si="47"/>
        <v>0.6231418935</v>
      </c>
      <c r="G301">
        <f ca="1" t="shared" si="48"/>
        <v>0.077044964535</v>
      </c>
      <c r="H301">
        <f ca="1" t="shared" si="49"/>
        <v>0.90526488885</v>
      </c>
      <c r="I301">
        <f ca="1" t="shared" si="50"/>
        <v>1506</v>
      </c>
      <c r="J301">
        <f ca="1" t="shared" si="51"/>
        <v>68</v>
      </c>
      <c r="K301">
        <f ca="1" t="shared" si="52"/>
        <v>36254</v>
      </c>
      <c r="L301">
        <f ca="1" t="shared" si="53"/>
        <v>5524</v>
      </c>
      <c r="M301">
        <f ca="1" t="shared" si="54"/>
        <v>0.03012348465</v>
      </c>
    </row>
    <row r="302" spans="1:13">
      <c r="A302" t="str">
        <f ca="1">OFFSET($N$2,(ROW(302:302)-2)/35,0)</f>
        <v>上海市</v>
      </c>
      <c r="B302">
        <f ca="1">OFFSET($O$1,0,MOD(ROW(302:302)-2,35))</f>
        <v>2010</v>
      </c>
      <c r="C302">
        <f ca="1" t="shared" si="44"/>
        <v>0.3815784</v>
      </c>
      <c r="D302">
        <f ca="1" t="shared" si="45"/>
        <v>8</v>
      </c>
      <c r="E302">
        <f ca="1" t="shared" si="46"/>
        <v>3</v>
      </c>
      <c r="F302">
        <f ca="1" t="shared" si="47"/>
        <v>0.70403758656</v>
      </c>
      <c r="G302">
        <f ca="1" t="shared" si="48"/>
        <v>0.094368154104</v>
      </c>
      <c r="H302">
        <f ca="1" t="shared" si="49"/>
        <v>0.86118429096</v>
      </c>
      <c r="I302">
        <f ca="1" t="shared" si="50"/>
        <v>2179</v>
      </c>
      <c r="J302">
        <f ca="1" t="shared" si="51"/>
        <v>66</v>
      </c>
      <c r="K302">
        <f ca="1" t="shared" si="52"/>
        <v>29953</v>
      </c>
      <c r="L302">
        <f ca="1" t="shared" si="53"/>
        <v>5842</v>
      </c>
      <c r="M302">
        <f ca="1" t="shared" si="54"/>
        <v>0.031898318904</v>
      </c>
    </row>
    <row r="303" spans="1:13">
      <c r="A303" t="str">
        <f ca="1">OFFSET($N$2,(ROW(303:303)-2)/35,0)</f>
        <v>上海市</v>
      </c>
      <c r="B303">
        <f ca="1">OFFSET($O$1,0,MOD(ROW(303:303)-2,35))</f>
        <v>2011</v>
      </c>
      <c r="C303">
        <f ca="1" t="shared" si="44"/>
        <v>0.39263112</v>
      </c>
      <c r="D303">
        <f ca="1" t="shared" si="45"/>
        <v>8</v>
      </c>
      <c r="E303">
        <f ca="1" t="shared" si="46"/>
        <v>3</v>
      </c>
      <c r="F303">
        <f ca="1" t="shared" si="47"/>
        <v>0.754453784784</v>
      </c>
      <c r="G303">
        <f ca="1" t="shared" si="48"/>
        <v>0.0897103214532</v>
      </c>
      <c r="H303">
        <f ca="1" t="shared" si="49"/>
        <v>0.894452954472</v>
      </c>
      <c r="I303">
        <f ca="1" t="shared" si="50"/>
        <v>1647</v>
      </c>
      <c r="J303">
        <f ca="1" t="shared" si="51"/>
        <v>40</v>
      </c>
      <c r="K303">
        <f ca="1" t="shared" si="52"/>
        <v>28877</v>
      </c>
      <c r="L303">
        <f ca="1" t="shared" si="53"/>
        <v>4593</v>
      </c>
      <c r="M303">
        <f ca="1" t="shared" si="54"/>
        <v>0.033025886208</v>
      </c>
    </row>
    <row r="304" spans="1:13">
      <c r="A304" t="str">
        <f ca="1">OFFSET($N$2,(ROW(304:304)-2)/35,0)</f>
        <v>上海市</v>
      </c>
      <c r="B304">
        <f ca="1">OFFSET($O$1,0,MOD(ROW(304:304)-2,35))</f>
        <v>2012</v>
      </c>
      <c r="C304">
        <f ca="1" t="shared" si="44"/>
        <v>0.4241664</v>
      </c>
      <c r="D304">
        <f ca="1" t="shared" si="45"/>
        <v>8</v>
      </c>
      <c r="E304">
        <f ca="1" t="shared" si="46"/>
        <v>3</v>
      </c>
      <c r="F304">
        <f ca="1" t="shared" si="47"/>
        <v>0.74786191872</v>
      </c>
      <c r="G304">
        <f ca="1" t="shared" si="48"/>
        <v>0.10371928896</v>
      </c>
      <c r="H304">
        <f ca="1" t="shared" si="49"/>
        <v>0.88137536256</v>
      </c>
      <c r="I304">
        <f ca="1" t="shared" si="50"/>
        <v>1963</v>
      </c>
      <c r="J304">
        <f ca="1" t="shared" si="51"/>
        <v>59</v>
      </c>
      <c r="K304">
        <f ca="1" t="shared" si="52"/>
        <v>38564</v>
      </c>
      <c r="L304">
        <f ca="1" t="shared" si="53"/>
        <v>6119</v>
      </c>
      <c r="M304">
        <f ca="1" t="shared" si="54"/>
        <v>0.036174122496</v>
      </c>
    </row>
    <row r="305" spans="1:13">
      <c r="A305" t="str">
        <f ca="1">OFFSET($N$2,(ROW(305:305)-2)/35,0)</f>
        <v>上海市</v>
      </c>
      <c r="B305">
        <f ca="1">OFFSET($O$1,0,MOD(ROW(305:305)-2,35))</f>
        <v>2013</v>
      </c>
      <c r="C305">
        <f ca="1" t="shared" si="44"/>
        <v>0.42877296</v>
      </c>
      <c r="D305">
        <f ca="1" t="shared" si="45"/>
        <v>8</v>
      </c>
      <c r="E305">
        <f ca="1" t="shared" si="46"/>
        <v>3</v>
      </c>
      <c r="F305">
        <f ca="1" t="shared" si="47"/>
        <v>0.84925630944</v>
      </c>
      <c r="G305">
        <f ca="1" t="shared" si="48"/>
        <v>0.0942400088784</v>
      </c>
      <c r="H305">
        <f ca="1" t="shared" si="49"/>
        <v>0.966282742656</v>
      </c>
      <c r="I305">
        <f ca="1" t="shared" si="50"/>
        <v>2445</v>
      </c>
      <c r="J305">
        <f ca="1" t="shared" si="51"/>
        <v>72</v>
      </c>
      <c r="K305">
        <f ca="1" t="shared" si="52"/>
        <v>32953</v>
      </c>
      <c r="L305">
        <f ca="1" t="shared" si="53"/>
        <v>6654</v>
      </c>
      <c r="M305">
        <f ca="1" t="shared" si="54"/>
        <v>0.0362362153824</v>
      </c>
    </row>
    <row r="306" spans="1:13">
      <c r="A306" t="str">
        <f ca="1">OFFSET($N$2,(ROW(306:306)-2)/35,0)</f>
        <v>上海市</v>
      </c>
      <c r="B306">
        <f ca="1">OFFSET($O$1,0,MOD(ROW(306:306)-2,35))</f>
        <v>2014</v>
      </c>
      <c r="C306">
        <f ca="1" t="shared" si="44"/>
        <v>0.43845312</v>
      </c>
      <c r="D306">
        <f ca="1" t="shared" si="45"/>
        <v>8</v>
      </c>
      <c r="E306">
        <f ca="1" t="shared" si="46"/>
        <v>3</v>
      </c>
      <c r="F306">
        <f ca="1" t="shared" si="47"/>
        <v>0.869861759872</v>
      </c>
      <c r="G306">
        <f ca="1" t="shared" si="48"/>
        <v>0.089400591168</v>
      </c>
      <c r="H306">
        <f ca="1" t="shared" si="49"/>
        <v>0.927964105824</v>
      </c>
      <c r="I306">
        <f ca="1" t="shared" si="50"/>
        <v>2298</v>
      </c>
      <c r="J306">
        <f ca="1" t="shared" si="51"/>
        <v>83</v>
      </c>
      <c r="K306">
        <f ca="1" t="shared" si="52"/>
        <v>35641</v>
      </c>
      <c r="L306">
        <f ca="1" t="shared" si="53"/>
        <v>7740</v>
      </c>
      <c r="M306">
        <f ca="1" t="shared" si="54"/>
        <v>0.0346641036672</v>
      </c>
    </row>
    <row r="307" spans="1:13">
      <c r="A307" t="str">
        <f ca="1">OFFSET($N$2,(ROW(307:307)-2)/35,0)</f>
        <v>上海市</v>
      </c>
      <c r="B307">
        <f ca="1">OFFSET($O$1,0,MOD(ROW(307:307)-2,35))</f>
        <v>2015</v>
      </c>
      <c r="C307">
        <f ca="1" t="shared" si="44"/>
        <v>0.462168</v>
      </c>
      <c r="D307">
        <f ca="1" t="shared" si="45"/>
        <v>8</v>
      </c>
      <c r="E307">
        <f ca="1" t="shared" si="46"/>
        <v>3</v>
      </c>
      <c r="F307">
        <f ca="1" t="shared" si="47"/>
        <v>0.9046014264</v>
      </c>
      <c r="G307">
        <f ca="1" t="shared" si="48"/>
        <v>0.09428920452</v>
      </c>
      <c r="H307">
        <f ca="1" t="shared" si="49"/>
        <v>1.095222618</v>
      </c>
      <c r="I307">
        <f ca="1" t="shared" si="50"/>
        <v>2471</v>
      </c>
      <c r="J307">
        <f ca="1" t="shared" si="51"/>
        <v>127</v>
      </c>
      <c r="K307">
        <f ca="1" t="shared" si="52"/>
        <v>31740</v>
      </c>
      <c r="L307">
        <f ca="1" t="shared" si="53"/>
        <v>7905</v>
      </c>
      <c r="M307">
        <f ca="1" t="shared" si="54"/>
        <v>0.03895812144</v>
      </c>
    </row>
    <row r="308" spans="1:13">
      <c r="A308" t="str">
        <f ca="1">OFFSET($N$2,(ROW(308:308)-2)/35,0)</f>
        <v>上海市</v>
      </c>
      <c r="B308">
        <f ca="1">OFFSET($O$1,0,MOD(ROW(308:308)-2,35))</f>
        <v>2016</v>
      </c>
      <c r="C308">
        <f ca="1" t="shared" si="44"/>
        <v>0.45804528</v>
      </c>
      <c r="D308">
        <f ca="1" t="shared" si="45"/>
        <v>8</v>
      </c>
      <c r="E308">
        <f ca="1" t="shared" si="46"/>
        <v>3</v>
      </c>
      <c r="F308">
        <f ca="1" t="shared" si="47"/>
        <v>0.836986140144</v>
      </c>
      <c r="G308">
        <f ca="1" t="shared" si="48"/>
        <v>0.1080024965712</v>
      </c>
      <c r="H308">
        <f ca="1" t="shared" si="49"/>
        <v>1.131326037072</v>
      </c>
      <c r="I308">
        <f ca="1" t="shared" si="50"/>
        <v>2624</v>
      </c>
      <c r="J308">
        <f ca="1" t="shared" si="51"/>
        <v>76</v>
      </c>
      <c r="K308">
        <f ca="1" t="shared" si="52"/>
        <v>36585</v>
      </c>
      <c r="L308">
        <f ca="1" t="shared" si="53"/>
        <v>5896</v>
      </c>
      <c r="M308">
        <f ca="1" t="shared" si="54"/>
        <v>0.0365507046432</v>
      </c>
    </row>
    <row r="309" spans="1:13">
      <c r="A309" t="str">
        <f ca="1">OFFSET($N$2,(ROW(309:309)-2)/35,0)</f>
        <v>上海市</v>
      </c>
      <c r="B309">
        <f ca="1">OFFSET($O$1,0,MOD(ROW(309:309)-2,35))</f>
        <v>2017</v>
      </c>
      <c r="C309">
        <f ca="1" t="shared" si="44"/>
        <v>0.47965764</v>
      </c>
      <c r="D309">
        <f ca="1" t="shared" si="45"/>
        <v>8</v>
      </c>
      <c r="E309">
        <f ca="1" t="shared" si="46"/>
        <v>3</v>
      </c>
      <c r="F309">
        <f ca="1" t="shared" si="47"/>
        <v>0.922045881372</v>
      </c>
      <c r="G309">
        <f ca="1" t="shared" si="48"/>
        <v>0.1157989474488</v>
      </c>
      <c r="H309">
        <f ca="1" t="shared" si="49"/>
        <v>0.96135382497</v>
      </c>
      <c r="I309">
        <f ca="1" t="shared" si="50"/>
        <v>2020</v>
      </c>
      <c r="J309">
        <f ca="1" t="shared" si="51"/>
        <v>122</v>
      </c>
      <c r="K309">
        <f ca="1" t="shared" si="52"/>
        <v>41739</v>
      </c>
      <c r="L309">
        <f ca="1" t="shared" si="53"/>
        <v>6543</v>
      </c>
      <c r="M309">
        <f ca="1" t="shared" si="54"/>
        <v>0.0391791212604</v>
      </c>
    </row>
    <row r="310" spans="1:13">
      <c r="A310" t="str">
        <f ca="1">OFFSET($N$2,(ROW(310:310)-2)/35,0)</f>
        <v>上海市</v>
      </c>
      <c r="B310">
        <f ca="1">OFFSET($O$1,0,MOD(ROW(310:310)-2,35))</f>
        <v>2018</v>
      </c>
      <c r="C310">
        <f ca="1" t="shared" si="44"/>
        <v>0.48480096</v>
      </c>
      <c r="D310">
        <f ca="1" t="shared" si="45"/>
        <v>8</v>
      </c>
      <c r="E310">
        <f ca="1" t="shared" si="46"/>
        <v>3</v>
      </c>
      <c r="F310">
        <f ca="1" t="shared" si="47"/>
        <v>0.884341591168</v>
      </c>
      <c r="G310">
        <f ca="1" t="shared" si="48"/>
        <v>0.1021499862768</v>
      </c>
      <c r="H310">
        <f ca="1" t="shared" si="49"/>
        <v>1.039510218432</v>
      </c>
      <c r="I310">
        <f ca="1" t="shared" si="50"/>
        <v>2793</v>
      </c>
      <c r="J310">
        <f ca="1" t="shared" si="51"/>
        <v>268</v>
      </c>
      <c r="K310">
        <f ca="1" t="shared" si="52"/>
        <v>45415</v>
      </c>
      <c r="L310">
        <f ca="1" t="shared" si="53"/>
        <v>8307</v>
      </c>
      <c r="M310">
        <f ca="1" t="shared" si="54"/>
        <v>0.0357769257024</v>
      </c>
    </row>
    <row r="311" spans="1:13">
      <c r="A311" t="str">
        <f ca="1">OFFSET($N$2,(ROW(311:311)-2)/35,0)</f>
        <v>上海市</v>
      </c>
      <c r="B311">
        <f ca="1">OFFSET($O$1,0,MOD(ROW(311:311)-2,35))</f>
        <v>2019</v>
      </c>
      <c r="C311">
        <f ca="1" t="shared" si="44"/>
        <v>0.50447124</v>
      </c>
      <c r="D311">
        <f ca="1" t="shared" si="45"/>
        <v>8</v>
      </c>
      <c r="E311">
        <f ca="1" t="shared" si="46"/>
        <v>3</v>
      </c>
      <c r="F311">
        <f ca="1" t="shared" si="47"/>
        <v>0.859232231676</v>
      </c>
      <c r="G311">
        <f ca="1" t="shared" si="48"/>
        <v>0.1090692044442</v>
      </c>
      <c r="H311">
        <f ca="1" t="shared" si="49"/>
        <v>1.141416627624</v>
      </c>
      <c r="I311">
        <f ca="1" t="shared" si="50"/>
        <v>2818</v>
      </c>
      <c r="J311">
        <f ca="1" t="shared" si="51"/>
        <v>443</v>
      </c>
      <c r="K311">
        <f ca="1" t="shared" si="52"/>
        <v>55954</v>
      </c>
      <c r="L311">
        <f ca="1" t="shared" si="53"/>
        <v>5594</v>
      </c>
      <c r="M311">
        <f ca="1" t="shared" si="54"/>
        <v>0.0417644532864</v>
      </c>
    </row>
    <row r="312" spans="1:13">
      <c r="A312" t="str">
        <f ca="1">OFFSET($N$2,(ROW(312:312)-2)/35,0)</f>
        <v>上海市</v>
      </c>
      <c r="B312">
        <f ca="1">OFFSET($O$1,0,MOD(ROW(312:312)-2,35))</f>
        <v>2020</v>
      </c>
      <c r="C312">
        <f ca="1" t="shared" si="44"/>
        <v>0.5150544</v>
      </c>
      <c r="D312">
        <f ca="1" t="shared" si="45"/>
        <v>9</v>
      </c>
      <c r="E312">
        <f ca="1" t="shared" si="46"/>
        <v>3</v>
      </c>
      <c r="F312">
        <f ca="1" t="shared" si="47"/>
        <v>1.02004807072</v>
      </c>
      <c r="G312">
        <f ca="1" t="shared" si="48"/>
        <v>0.11283554268</v>
      </c>
      <c r="H312">
        <f ca="1" t="shared" si="49"/>
        <v>1.12974607368</v>
      </c>
      <c r="I312">
        <f ca="1" t="shared" si="50"/>
        <v>2836</v>
      </c>
      <c r="J312">
        <f ca="1" t="shared" si="51"/>
        <v>469</v>
      </c>
      <c r="K312">
        <f ca="1" t="shared" si="52"/>
        <v>60354</v>
      </c>
      <c r="L312">
        <f ca="1" t="shared" si="53"/>
        <v>8912</v>
      </c>
      <c r="M312">
        <f ca="1" t="shared" si="54"/>
        <v>0.042529513392</v>
      </c>
    </row>
    <row r="313" spans="1:13">
      <c r="A313" t="str">
        <f ca="1">OFFSET($N$2,(ROW(313:313)-2)/35,0)</f>
        <v>上海市</v>
      </c>
      <c r="B313">
        <f ca="1">OFFSET($O$1,0,MOD(ROW(313:313)-2,35))</f>
        <v>2021</v>
      </c>
      <c r="C313">
        <f ca="1" t="shared" si="44"/>
        <v>0.53292456</v>
      </c>
      <c r="D313">
        <f ca="1" t="shared" si="45"/>
        <v>9</v>
      </c>
      <c r="E313">
        <f ca="1" t="shared" si="46"/>
        <v>3</v>
      </c>
      <c r="F313">
        <f ca="1" t="shared" si="47"/>
        <v>0.93368382912</v>
      </c>
      <c r="G313">
        <f ca="1" t="shared" si="48"/>
        <v>0.1147093469172</v>
      </c>
      <c r="H313">
        <f ca="1" t="shared" si="49"/>
        <v>1.166811677892</v>
      </c>
      <c r="I313">
        <f ca="1" t="shared" si="50"/>
        <v>2148</v>
      </c>
      <c r="J313">
        <f ca="1" t="shared" si="51"/>
        <v>490</v>
      </c>
      <c r="K313">
        <f ca="1" t="shared" si="52"/>
        <v>43471</v>
      </c>
      <c r="L313">
        <f ca="1" t="shared" si="53"/>
        <v>8367</v>
      </c>
      <c r="M313">
        <f ca="1" t="shared" si="54"/>
        <v>0.0455010989328</v>
      </c>
    </row>
    <row r="314" spans="1:13">
      <c r="A314" t="str">
        <f ca="1">OFFSET($N$2,(ROW(314:314)-2)/35,0)</f>
        <v>上海市</v>
      </c>
      <c r="B314">
        <f ca="1">OFFSET($O$1,0,MOD(ROW(314:314)-2,35))</f>
        <v>2022</v>
      </c>
      <c r="C314">
        <f ca="1" t="shared" si="44"/>
        <v>0.54200664</v>
      </c>
      <c r="D314">
        <f ca="1" t="shared" si="45"/>
        <v>10</v>
      </c>
      <c r="E314">
        <f ca="1" t="shared" si="46"/>
        <v>3</v>
      </c>
      <c r="F314">
        <f ca="1" t="shared" si="47"/>
        <v>0.983976921144</v>
      </c>
      <c r="G314">
        <f ca="1" t="shared" si="48"/>
        <v>0.108821383146</v>
      </c>
      <c r="H314">
        <f ca="1" t="shared" si="49"/>
        <v>1.166316988284</v>
      </c>
      <c r="I314">
        <f ca="1" t="shared" si="50"/>
        <v>2211</v>
      </c>
      <c r="J314">
        <f ca="1" t="shared" si="51"/>
        <v>475</v>
      </c>
      <c r="K314">
        <f ca="1" t="shared" si="52"/>
        <v>57990</v>
      </c>
      <c r="L314">
        <f ca="1" t="shared" si="53"/>
        <v>8971</v>
      </c>
      <c r="M314">
        <f ca="1" t="shared" si="54"/>
        <v>0.0404940903696</v>
      </c>
    </row>
    <row r="315" spans="1:13">
      <c r="A315" t="str">
        <f ca="1">OFFSET($N$2,(ROW(315:315)-2)/35,0)</f>
        <v>上海市</v>
      </c>
      <c r="B315">
        <f ca="1">OFFSET($O$1,0,MOD(ROW(315:315)-2,35))</f>
        <v>2023</v>
      </c>
      <c r="C315">
        <f ca="1" t="shared" si="44"/>
        <v>0.574308</v>
      </c>
      <c r="D315">
        <f ca="1" t="shared" si="45"/>
        <v>10</v>
      </c>
      <c r="E315">
        <f ca="1" t="shared" si="46"/>
        <v>3</v>
      </c>
      <c r="F315">
        <f ca="1" t="shared" si="47"/>
        <v>1.0983831936</v>
      </c>
      <c r="G315">
        <f ca="1" t="shared" si="48"/>
        <v>0.13118917644</v>
      </c>
      <c r="H315">
        <f ca="1" t="shared" si="49"/>
        <v>1.1821268718</v>
      </c>
      <c r="I315">
        <f ca="1" t="shared" si="50"/>
        <v>2947</v>
      </c>
      <c r="J315">
        <f ca="1" t="shared" si="51"/>
        <v>296</v>
      </c>
      <c r="K315">
        <f ca="1" t="shared" si="52"/>
        <v>35289</v>
      </c>
      <c r="L315">
        <f ca="1" t="shared" si="53"/>
        <v>8185</v>
      </c>
      <c r="M315">
        <f ca="1" t="shared" si="54"/>
        <v>0.04450558824</v>
      </c>
    </row>
    <row r="316" spans="1:13">
      <c r="A316" t="str">
        <f ca="1">OFFSET($N$2,(ROW(316:316)-2)/35,0)</f>
        <v>上海市</v>
      </c>
      <c r="B316">
        <f ca="1">OFFSET($O$1,0,MOD(ROW(316:316)-2,35))</f>
        <v>2024</v>
      </c>
      <c r="C316">
        <f ca="1" t="shared" si="44"/>
        <v>0.56275296</v>
      </c>
      <c r="D316">
        <f ca="1" t="shared" si="45"/>
        <v>10</v>
      </c>
      <c r="E316">
        <f ca="1" t="shared" si="46"/>
        <v>3</v>
      </c>
      <c r="F316">
        <f ca="1" t="shared" si="47"/>
        <v>0.965140084832</v>
      </c>
      <c r="G316">
        <f ca="1" t="shared" si="48"/>
        <v>0.1224297202128</v>
      </c>
      <c r="H316">
        <f ca="1" t="shared" si="49"/>
        <v>1.390928353584</v>
      </c>
      <c r="I316">
        <f ca="1" t="shared" si="50"/>
        <v>2746</v>
      </c>
      <c r="J316">
        <f ca="1" t="shared" si="51"/>
        <v>447</v>
      </c>
      <c r="K316">
        <f ca="1" t="shared" si="52"/>
        <v>41484</v>
      </c>
      <c r="L316">
        <f ca="1" t="shared" si="53"/>
        <v>9732</v>
      </c>
      <c r="M316">
        <f ca="1" t="shared" si="54"/>
        <v>0.0460267606656</v>
      </c>
    </row>
    <row r="317" spans="1:13">
      <c r="A317" t="str">
        <f ca="1">OFFSET($N$2,(ROW(317:317)-2)/35,0)</f>
        <v>江苏省</v>
      </c>
      <c r="B317">
        <f ca="1">OFFSET($O$1,0,MOD(ROW(317:317)-2,35))</f>
        <v>1990</v>
      </c>
      <c r="C317">
        <f ca="1" t="shared" si="44"/>
        <v>0.1168356</v>
      </c>
      <c r="D317">
        <f ca="1" t="shared" si="45"/>
        <v>4</v>
      </c>
      <c r="E317">
        <f ca="1" t="shared" si="46"/>
        <v>0</v>
      </c>
      <c r="F317">
        <f ca="1" t="shared" si="47"/>
        <v>0.22834739116</v>
      </c>
      <c r="G317">
        <f ca="1" t="shared" si="48"/>
        <v>0.02531827452</v>
      </c>
      <c r="H317">
        <f ca="1" t="shared" si="49"/>
        <v>0.24781999116</v>
      </c>
      <c r="I317">
        <f ca="1" t="shared" si="50"/>
        <v>676</v>
      </c>
      <c r="J317">
        <f ca="1" t="shared" si="51"/>
        <v>14</v>
      </c>
      <c r="K317">
        <f ca="1" t="shared" si="52"/>
        <v>12944</v>
      </c>
      <c r="L317">
        <f ca="1" t="shared" si="53"/>
        <v>1589</v>
      </c>
      <c r="M317">
        <f ca="1" t="shared" si="54"/>
        <v>0.00932014272</v>
      </c>
    </row>
    <row r="318" spans="1:13">
      <c r="A318" t="str">
        <f ca="1">OFFSET($N$2,(ROW(318:318)-2)/35,0)</f>
        <v>江苏省</v>
      </c>
      <c r="B318">
        <f ca="1">OFFSET($O$1,0,MOD(ROW(318:318)-2,35))</f>
        <v>1991</v>
      </c>
      <c r="C318">
        <f ca="1" t="shared" si="44"/>
        <v>0.12826968</v>
      </c>
      <c r="D318">
        <f ca="1" t="shared" si="45"/>
        <v>4</v>
      </c>
      <c r="E318">
        <f ca="1" t="shared" si="46"/>
        <v>0</v>
      </c>
      <c r="F318">
        <f ca="1" t="shared" si="47"/>
        <v>0.23496867548</v>
      </c>
      <c r="G318">
        <f ca="1" t="shared" si="48"/>
        <v>0.0302889608868</v>
      </c>
      <c r="H318">
        <f ca="1" t="shared" si="49"/>
        <v>0.25865580972</v>
      </c>
      <c r="I318">
        <f ca="1" t="shared" si="50"/>
        <v>689</v>
      </c>
      <c r="J318">
        <f ca="1" t="shared" si="51"/>
        <v>16</v>
      </c>
      <c r="K318">
        <f ca="1" t="shared" si="52"/>
        <v>7869</v>
      </c>
      <c r="L318">
        <f ca="1" t="shared" si="53"/>
        <v>2129</v>
      </c>
      <c r="M318">
        <f ca="1" t="shared" si="54"/>
        <v>0.0094701504744</v>
      </c>
    </row>
    <row r="319" spans="1:13">
      <c r="A319" t="str">
        <f ca="1">OFFSET($N$2,(ROW(319:319)-2)/35,0)</f>
        <v>江苏省</v>
      </c>
      <c r="B319">
        <f ca="1">OFFSET($O$1,0,MOD(ROW(319:319)-2,35))</f>
        <v>1992</v>
      </c>
      <c r="C319">
        <f ca="1" t="shared" si="44"/>
        <v>0.1356264</v>
      </c>
      <c r="D319">
        <f ca="1" t="shared" si="45"/>
        <v>4</v>
      </c>
      <c r="E319">
        <f ca="1" t="shared" si="46"/>
        <v>0</v>
      </c>
      <c r="F319">
        <f ca="1" t="shared" si="47"/>
        <v>0.2583004788</v>
      </c>
      <c r="G319">
        <f ca="1" t="shared" si="48"/>
        <v>0.03155687262</v>
      </c>
      <c r="H319">
        <f ca="1" t="shared" si="49"/>
        <v>0.27125958132</v>
      </c>
      <c r="I319">
        <f ca="1" t="shared" si="50"/>
        <v>724</v>
      </c>
      <c r="J319">
        <f ca="1" t="shared" si="51"/>
        <v>18</v>
      </c>
      <c r="K319">
        <f ca="1" t="shared" si="52"/>
        <v>10790</v>
      </c>
      <c r="L319">
        <f ca="1" t="shared" si="53"/>
        <v>1896</v>
      </c>
      <c r="M319">
        <f ca="1" t="shared" si="54"/>
        <v>0.011405986488</v>
      </c>
    </row>
    <row r="320" spans="1:13">
      <c r="A320" t="str">
        <f ca="1">OFFSET($N$2,(ROW(320:320)-2)/35,0)</f>
        <v>江苏省</v>
      </c>
      <c r="B320">
        <f ca="1">OFFSET($O$1,0,MOD(ROW(320:320)-2,35))</f>
        <v>1993</v>
      </c>
      <c r="C320">
        <f ca="1" t="shared" si="44"/>
        <v>0.14384916</v>
      </c>
      <c r="D320">
        <f ca="1" t="shared" si="45"/>
        <v>5</v>
      </c>
      <c r="E320">
        <f ca="1" t="shared" si="46"/>
        <v>0</v>
      </c>
      <c r="F320">
        <f ca="1" t="shared" si="47"/>
        <v>0.281757349692</v>
      </c>
      <c r="G320">
        <f ca="1" t="shared" si="48"/>
        <v>0.035178312078</v>
      </c>
      <c r="H320">
        <f ca="1" t="shared" si="49"/>
        <v>0.31603660452</v>
      </c>
      <c r="I320">
        <f ca="1" t="shared" si="50"/>
        <v>602</v>
      </c>
      <c r="J320">
        <f ca="1" t="shared" si="51"/>
        <v>16</v>
      </c>
      <c r="K320">
        <f ca="1" t="shared" si="52"/>
        <v>16388</v>
      </c>
      <c r="L320">
        <f ca="1" t="shared" si="53"/>
        <v>2211</v>
      </c>
      <c r="M320">
        <f ca="1" t="shared" si="54"/>
        <v>0.0117140480964</v>
      </c>
    </row>
    <row r="321" spans="1:13">
      <c r="A321" t="str">
        <f ca="1">OFFSET($N$2,(ROW(321:321)-2)/35,0)</f>
        <v>江苏省</v>
      </c>
      <c r="B321">
        <f ca="1">OFFSET($O$1,0,MOD(ROW(321:321)-2,35))</f>
        <v>1994</v>
      </c>
      <c r="C321">
        <f ca="1" t="shared" si="44"/>
        <v>0.15773688</v>
      </c>
      <c r="D321">
        <f ca="1" t="shared" si="45"/>
        <v>5</v>
      </c>
      <c r="E321">
        <f ca="1" t="shared" si="46"/>
        <v>0</v>
      </c>
      <c r="F321">
        <f ca="1" t="shared" si="47"/>
        <v>0.31339689108</v>
      </c>
      <c r="G321">
        <f ca="1" t="shared" si="48"/>
        <v>0.0356264517168</v>
      </c>
      <c r="H321">
        <f ca="1" t="shared" si="49"/>
        <v>0.368859807036</v>
      </c>
      <c r="I321">
        <f ca="1" t="shared" si="50"/>
        <v>707</v>
      </c>
      <c r="J321">
        <f ca="1" t="shared" si="51"/>
        <v>22</v>
      </c>
      <c r="K321">
        <f ca="1" t="shared" si="52"/>
        <v>13715</v>
      </c>
      <c r="L321">
        <f ca="1" t="shared" si="53"/>
        <v>1585</v>
      </c>
      <c r="M321">
        <f ca="1" t="shared" si="54"/>
        <v>0.0113027488056</v>
      </c>
    </row>
    <row r="322" spans="1:13">
      <c r="A322" t="str">
        <f ca="1">OFFSET($N$2,(ROW(322:322)-2)/35,0)</f>
        <v>江苏省</v>
      </c>
      <c r="B322">
        <f ca="1">OFFSET($O$1,0,MOD(ROW(322:322)-2,35))</f>
        <v>1995</v>
      </c>
      <c r="C322">
        <f ca="1" t="shared" si="44"/>
        <v>0.175266</v>
      </c>
      <c r="D322">
        <f ca="1" t="shared" si="45"/>
        <v>5</v>
      </c>
      <c r="E322">
        <f ca="1" t="shared" si="46"/>
        <v>0</v>
      </c>
      <c r="F322">
        <f ca="1" t="shared" si="47"/>
        <v>0.3290443884</v>
      </c>
      <c r="G322">
        <f ca="1" t="shared" si="48"/>
        <v>0.04137679728</v>
      </c>
      <c r="H322">
        <f ca="1" t="shared" si="49"/>
        <v>0.4193589582</v>
      </c>
      <c r="I322">
        <f ca="1" t="shared" si="50"/>
        <v>705</v>
      </c>
      <c r="J322">
        <f ca="1" t="shared" si="51"/>
        <v>22</v>
      </c>
      <c r="K322">
        <f ca="1" t="shared" si="52"/>
        <v>11292</v>
      </c>
      <c r="L322">
        <f ca="1" t="shared" si="53"/>
        <v>2080</v>
      </c>
      <c r="M322">
        <f ca="1" t="shared" si="54"/>
        <v>0.01293062472</v>
      </c>
    </row>
    <row r="323" spans="1:13">
      <c r="A323" t="str">
        <f ca="1">OFFSET($N$2,(ROW(323:323)-2)/35,0)</f>
        <v>江苏省</v>
      </c>
      <c r="B323">
        <f ca="1">OFFSET($O$1,0,MOD(ROW(323:323)-2,35))</f>
        <v>1996</v>
      </c>
      <c r="C323">
        <f ca="1" t="shared" ref="C323:C386" si="55">IF(OR(A323="北京市",A323="上海市",A323="广东省"),(B323-1980)*RANDBETWEEN(15000,16000)/500000,IF(OR(A323="西藏自治区",A323="新疆维吾尔自治区",A323="青海省",A323="广西壮族自治区",A323="内蒙古自治区",A323="宁夏回族自治区",A323="贵州省",A323="甘肃省",A323="陕西省",A323="云南省"),(B323-1980)*RANDBETWEEN(7000,8000)/500000,IF(OR(A323="浙江省",A323="江苏省",A323="山东省",A323="辽宁省"),(B323-1980)*RANDBETWEEN(13000,14000)/500000,(B323-1980)*RANDBETWEEN(10000,11000)/500000)))*0.42</f>
        <v>0.18259584</v>
      </c>
      <c r="D323">
        <f ca="1" t="shared" ref="D323:D386" si="56">IF($B323=1990,ROUND($C323*RANDBETWEEN(10000,20000)/500,0),ROUND(D322+RANDBETWEEN(0,5)/10,0))</f>
        <v>5</v>
      </c>
      <c r="E323">
        <f ca="1" t="shared" ref="E323:E386" si="57">IF($B323=1990,ROUND($C323*RANDBETWEEN(10000,20000)/5000,0),ROUND(E322+RANDBETWEEN(0,20)/40,0))</f>
        <v>0</v>
      </c>
      <c r="F323">
        <f ca="1" t="shared" ref="F323:F386" si="58">$C323*RANDBETWEEN(50000,60000)/30000</f>
        <v>0.35478371712</v>
      </c>
      <c r="G323">
        <f ca="1" t="shared" ref="G323:G386" si="59">$C323*RANDBETWEEN(40000,50000)/200000</f>
        <v>0.0452326414848</v>
      </c>
      <c r="H323">
        <f ca="1" t="shared" ref="H323:H386" si="60">$C323*RANDBETWEEN(40000,50000)/20000</f>
        <v>0.455740957056</v>
      </c>
      <c r="I323">
        <f ca="1" t="shared" ref="I323:I386" si="61">ROUND($C323*RANDBETWEEN(20000,30000)/5,0)</f>
        <v>778</v>
      </c>
      <c r="J323">
        <f ca="1" t="shared" ref="J323:J386" si="62">IF(B323&lt;2015,ROUND($C323*RANDBETWEEN(10000,20000)/100,0),IF(B323&lt;2018,ROUND($C323*RANDBETWEEN(10000,20000)/70,0),ROUND($C323*RANDBETWEEN(10000,20000)/20,0)))</f>
        <v>27</v>
      </c>
      <c r="K323">
        <f ca="1" t="shared" ref="K323:K386" si="63">ROUND($C323*RANDBETWEEN(10000,20000)*6,0)</f>
        <v>17897</v>
      </c>
      <c r="L323">
        <f ca="1" t="shared" ref="L323:L386" si="64">ROUND($C323*RANDBETWEEN(10000,20000)*1,0)</f>
        <v>2647</v>
      </c>
      <c r="M323">
        <f ca="1" t="shared" ref="M323:M386" si="65">$C323*RANDBETWEEN(50000,60000)/700000</f>
        <v>0.0136482564864</v>
      </c>
    </row>
    <row r="324" spans="1:13">
      <c r="A324" t="str">
        <f ca="1">OFFSET($N$2,(ROW(324:324)-2)/35,0)</f>
        <v>江苏省</v>
      </c>
      <c r="B324">
        <f ca="1">OFFSET($O$1,0,MOD(ROW(324:324)-2,35))</f>
        <v>1997</v>
      </c>
      <c r="C324">
        <f ca="1" t="shared" si="55"/>
        <v>0.18765348</v>
      </c>
      <c r="D324">
        <f ca="1" t="shared" si="56"/>
        <v>5</v>
      </c>
      <c r="E324">
        <f ca="1" t="shared" si="57"/>
        <v>0</v>
      </c>
      <c r="F324">
        <f ca="1" t="shared" si="58"/>
        <v>0.349929954388</v>
      </c>
      <c r="G324">
        <f ca="1" t="shared" si="59"/>
        <v>0.044975847819</v>
      </c>
      <c r="H324">
        <f ca="1" t="shared" si="60"/>
        <v>0.462040398456</v>
      </c>
      <c r="I324">
        <f ca="1" t="shared" si="61"/>
        <v>838</v>
      </c>
      <c r="J324">
        <f ca="1" t="shared" si="62"/>
        <v>25</v>
      </c>
      <c r="K324">
        <f ca="1" t="shared" si="63"/>
        <v>18599</v>
      </c>
      <c r="L324">
        <f ca="1" t="shared" si="64"/>
        <v>2809</v>
      </c>
      <c r="M324">
        <f ca="1" t="shared" si="65"/>
        <v>0.0149272981812</v>
      </c>
    </row>
    <row r="325" spans="1:13">
      <c r="A325" t="str">
        <f ca="1">OFFSET($N$2,(ROW(325:325)-2)/35,0)</f>
        <v>江苏省</v>
      </c>
      <c r="B325">
        <f ca="1">OFFSET($O$1,0,MOD(ROW(325:325)-2,35))</f>
        <v>1998</v>
      </c>
      <c r="C325">
        <f ca="1" t="shared" si="55"/>
        <v>0.20289528</v>
      </c>
      <c r="D325">
        <f ca="1" t="shared" si="56"/>
        <v>5</v>
      </c>
      <c r="E325">
        <f ca="1" t="shared" si="57"/>
        <v>0</v>
      </c>
      <c r="F325">
        <f ca="1" t="shared" si="58"/>
        <v>0.380719466568</v>
      </c>
      <c r="G325">
        <f ca="1" t="shared" si="59"/>
        <v>0.0456788288628</v>
      </c>
      <c r="H325">
        <f ca="1" t="shared" si="60"/>
        <v>0.440343626184</v>
      </c>
      <c r="I325">
        <f ca="1" t="shared" si="61"/>
        <v>1059</v>
      </c>
      <c r="J325">
        <f ca="1" t="shared" si="62"/>
        <v>30</v>
      </c>
      <c r="K325">
        <f ca="1" t="shared" si="63"/>
        <v>17757</v>
      </c>
      <c r="L325">
        <f ca="1" t="shared" si="64"/>
        <v>3291</v>
      </c>
      <c r="M325">
        <f ca="1" t="shared" si="65"/>
        <v>0.017259142068</v>
      </c>
    </row>
    <row r="326" spans="1:13">
      <c r="A326" t="str">
        <f ca="1">OFFSET($N$2,(ROW(326:326)-2)/35,0)</f>
        <v>江苏省</v>
      </c>
      <c r="B326">
        <f ca="1">OFFSET($O$1,0,MOD(ROW(326:326)-2,35))</f>
        <v>1999</v>
      </c>
      <c r="C326">
        <f ca="1" t="shared" si="55"/>
        <v>0.21427896</v>
      </c>
      <c r="D326">
        <f ca="1" t="shared" si="56"/>
        <v>6</v>
      </c>
      <c r="E326">
        <f ca="1" t="shared" si="57"/>
        <v>0</v>
      </c>
      <c r="F326">
        <f ca="1" t="shared" si="58"/>
        <v>0.381245125632</v>
      </c>
      <c r="G326">
        <f ca="1" t="shared" si="59"/>
        <v>0.0518672936628</v>
      </c>
      <c r="H326">
        <f ca="1" t="shared" si="60"/>
        <v>0.468156671808</v>
      </c>
      <c r="I326">
        <f ca="1" t="shared" si="61"/>
        <v>1136</v>
      </c>
      <c r="J326">
        <f ca="1" t="shared" si="62"/>
        <v>33</v>
      </c>
      <c r="K326">
        <f ca="1" t="shared" si="63"/>
        <v>21553</v>
      </c>
      <c r="L326">
        <f ca="1" t="shared" si="64"/>
        <v>2848</v>
      </c>
      <c r="M326">
        <f ca="1" t="shared" si="65"/>
        <v>0.0167465129496</v>
      </c>
    </row>
    <row r="327" spans="1:13">
      <c r="A327" t="str">
        <f ca="1">OFFSET($N$2,(ROW(327:327)-2)/35,0)</f>
        <v>江苏省</v>
      </c>
      <c r="B327">
        <f ca="1">OFFSET($O$1,0,MOD(ROW(327:327)-2,35))</f>
        <v>2000</v>
      </c>
      <c r="C327">
        <f ca="1" t="shared" si="55"/>
        <v>0.2317224</v>
      </c>
      <c r="D327">
        <f ca="1" t="shared" si="56"/>
        <v>6</v>
      </c>
      <c r="E327">
        <f ca="1" t="shared" si="57"/>
        <v>0</v>
      </c>
      <c r="F327">
        <f ca="1" t="shared" si="58"/>
        <v>0.3892163912</v>
      </c>
      <c r="G327">
        <f ca="1" t="shared" si="59"/>
        <v>0.049265340852</v>
      </c>
      <c r="H327">
        <f ca="1" t="shared" si="60"/>
        <v>0.47592305124</v>
      </c>
      <c r="I327">
        <f ca="1" t="shared" si="61"/>
        <v>1359</v>
      </c>
      <c r="J327">
        <f ca="1" t="shared" si="62"/>
        <v>33</v>
      </c>
      <c r="K327">
        <f ca="1" t="shared" si="63"/>
        <v>21888</v>
      </c>
      <c r="L327">
        <f ca="1" t="shared" si="64"/>
        <v>4453</v>
      </c>
      <c r="M327">
        <f ca="1" t="shared" si="65"/>
        <v>0.01956564636</v>
      </c>
    </row>
    <row r="328" spans="1:13">
      <c r="A328" t="str">
        <f ca="1">OFFSET($N$2,(ROW(328:328)-2)/35,0)</f>
        <v>江苏省</v>
      </c>
      <c r="B328">
        <f ca="1">OFFSET($O$1,0,MOD(ROW(328:328)-2,35))</f>
        <v>2001</v>
      </c>
      <c r="C328">
        <f ca="1" t="shared" si="55"/>
        <v>0.2367288</v>
      </c>
      <c r="D328">
        <f ca="1" t="shared" si="56"/>
        <v>6</v>
      </c>
      <c r="E328">
        <f ca="1" t="shared" si="57"/>
        <v>0</v>
      </c>
      <c r="F328">
        <f ca="1" t="shared" si="58"/>
        <v>0.45435358584</v>
      </c>
      <c r="G328">
        <f ca="1" t="shared" si="59"/>
        <v>0.050590128204</v>
      </c>
      <c r="H328">
        <f ca="1" t="shared" si="60"/>
        <v>0.47800279296</v>
      </c>
      <c r="I328">
        <f ca="1" t="shared" si="61"/>
        <v>1285</v>
      </c>
      <c r="J328">
        <f ca="1" t="shared" si="62"/>
        <v>30</v>
      </c>
      <c r="K328">
        <f ca="1" t="shared" si="63"/>
        <v>21333</v>
      </c>
      <c r="L328">
        <f ca="1" t="shared" si="64"/>
        <v>3397</v>
      </c>
      <c r="M328">
        <f ca="1" t="shared" si="65"/>
        <v>0.020077307712</v>
      </c>
    </row>
    <row r="329" spans="1:13">
      <c r="A329" t="str">
        <f ca="1">OFFSET($N$2,(ROW(329:329)-2)/35,0)</f>
        <v>江苏省</v>
      </c>
      <c r="B329">
        <f ca="1">OFFSET($O$1,0,MOD(ROW(329:329)-2,35))</f>
        <v>2002</v>
      </c>
      <c r="C329">
        <f ca="1" t="shared" si="55"/>
        <v>0.25297272</v>
      </c>
      <c r="D329">
        <f ca="1" t="shared" si="56"/>
        <v>6</v>
      </c>
      <c r="E329">
        <f ca="1" t="shared" si="57"/>
        <v>0</v>
      </c>
      <c r="F329">
        <f ca="1" t="shared" si="58"/>
        <v>0.477857035656</v>
      </c>
      <c r="G329">
        <f ca="1" t="shared" si="59"/>
        <v>0.0609752795652</v>
      </c>
      <c r="H329">
        <f ca="1" t="shared" si="60"/>
        <v>0.600443399556</v>
      </c>
      <c r="I329">
        <f ca="1" t="shared" si="61"/>
        <v>1481</v>
      </c>
      <c r="J329">
        <f ca="1" t="shared" si="62"/>
        <v>36</v>
      </c>
      <c r="K329">
        <f ca="1" t="shared" si="63"/>
        <v>17083</v>
      </c>
      <c r="L329">
        <f ca="1" t="shared" si="64"/>
        <v>3870</v>
      </c>
      <c r="M329">
        <f ca="1" t="shared" si="65"/>
        <v>0.0212988574656</v>
      </c>
    </row>
    <row r="330" spans="1:13">
      <c r="A330" t="str">
        <f ca="1">OFFSET($N$2,(ROW(330:330)-2)/35,0)</f>
        <v>江苏省</v>
      </c>
      <c r="B330">
        <f ca="1">OFFSET($O$1,0,MOD(ROW(330:330)-2,35))</f>
        <v>2003</v>
      </c>
      <c r="C330">
        <f ca="1" t="shared" si="55"/>
        <v>0.26638416</v>
      </c>
      <c r="D330">
        <f ca="1" t="shared" si="56"/>
        <v>6</v>
      </c>
      <c r="E330">
        <f ca="1" t="shared" si="57"/>
        <v>0</v>
      </c>
      <c r="F330">
        <f ca="1" t="shared" si="58"/>
        <v>0.4859291052</v>
      </c>
      <c r="G330">
        <f ca="1" t="shared" si="59"/>
        <v>0.0602933907744</v>
      </c>
      <c r="H330">
        <f ca="1" t="shared" si="60"/>
        <v>0.57385807668</v>
      </c>
      <c r="I330">
        <f ca="1" t="shared" si="61"/>
        <v>1147</v>
      </c>
      <c r="J330">
        <f ca="1" t="shared" si="62"/>
        <v>29</v>
      </c>
      <c r="K330">
        <f ca="1" t="shared" si="63"/>
        <v>29236</v>
      </c>
      <c r="L330">
        <f ca="1" t="shared" si="64"/>
        <v>4248</v>
      </c>
      <c r="M330">
        <f ca="1" t="shared" si="65"/>
        <v>0.0211402469376</v>
      </c>
    </row>
    <row r="331" spans="1:13">
      <c r="A331" t="str">
        <f ca="1">OFFSET($N$2,(ROW(331:331)-2)/35,0)</f>
        <v>江苏省</v>
      </c>
      <c r="B331">
        <f ca="1">OFFSET($O$1,0,MOD(ROW(331:331)-2,35))</f>
        <v>2004</v>
      </c>
      <c r="C331">
        <f ca="1" t="shared" si="55"/>
        <v>0.27449856</v>
      </c>
      <c r="D331">
        <f ca="1" t="shared" si="56"/>
        <v>6</v>
      </c>
      <c r="E331">
        <f ca="1" t="shared" si="57"/>
        <v>0</v>
      </c>
      <c r="F331">
        <f ca="1" t="shared" si="58"/>
        <v>0.54048766464</v>
      </c>
      <c r="G331">
        <f ca="1" t="shared" si="59"/>
        <v>0.0611761215744</v>
      </c>
      <c r="H331">
        <f ca="1" t="shared" si="60"/>
        <v>0.6234548544</v>
      </c>
      <c r="I331">
        <f ca="1" t="shared" si="61"/>
        <v>1326</v>
      </c>
      <c r="J331">
        <f ca="1" t="shared" si="62"/>
        <v>37</v>
      </c>
      <c r="K331">
        <f ca="1" t="shared" si="63"/>
        <v>21309</v>
      </c>
      <c r="L331">
        <f ca="1" t="shared" si="64"/>
        <v>5438</v>
      </c>
      <c r="M331">
        <f ca="1" t="shared" si="65"/>
        <v>0.022030470144</v>
      </c>
    </row>
    <row r="332" spans="1:13">
      <c r="A332" t="str">
        <f ca="1">OFFSET($N$2,(ROW(332:332)-2)/35,0)</f>
        <v>江苏省</v>
      </c>
      <c r="B332">
        <f ca="1">OFFSET($O$1,0,MOD(ROW(332:332)-2,35))</f>
        <v>2005</v>
      </c>
      <c r="C332">
        <f ca="1" t="shared" si="55"/>
        <v>0.28707</v>
      </c>
      <c r="D332">
        <f ca="1" t="shared" si="56"/>
        <v>6</v>
      </c>
      <c r="E332">
        <f ca="1" t="shared" si="57"/>
        <v>0</v>
      </c>
      <c r="F332">
        <f ca="1" t="shared" si="58"/>
        <v>0.544102909</v>
      </c>
      <c r="G332">
        <f ca="1" t="shared" si="59"/>
        <v>0.0696661476</v>
      </c>
      <c r="H332">
        <f ca="1" t="shared" si="60"/>
        <v>0.626243205</v>
      </c>
      <c r="I332">
        <f ca="1" t="shared" si="61"/>
        <v>1412</v>
      </c>
      <c r="J332">
        <f ca="1" t="shared" si="62"/>
        <v>43</v>
      </c>
      <c r="K332">
        <f ca="1" t="shared" si="63"/>
        <v>25859</v>
      </c>
      <c r="L332">
        <f ca="1" t="shared" si="64"/>
        <v>4645</v>
      </c>
      <c r="M332">
        <f ca="1" t="shared" si="65"/>
        <v>0.0210254169</v>
      </c>
    </row>
    <row r="333" spans="1:13">
      <c r="A333" t="str">
        <f ca="1">OFFSET($N$2,(ROW(333:333)-2)/35,0)</f>
        <v>江苏省</v>
      </c>
      <c r="B333">
        <f ca="1">OFFSET($O$1,0,MOD(ROW(333:333)-2,35))</f>
        <v>2006</v>
      </c>
      <c r="C333">
        <f ca="1" t="shared" si="55"/>
        <v>0.30468984</v>
      </c>
      <c r="D333">
        <f ca="1" t="shared" si="56"/>
        <v>6</v>
      </c>
      <c r="E333">
        <f ca="1" t="shared" si="57"/>
        <v>0</v>
      </c>
      <c r="F333">
        <f ca="1" t="shared" si="58"/>
        <v>0.589635778368</v>
      </c>
      <c r="G333">
        <f ca="1" t="shared" si="59"/>
        <v>0.0633343535916</v>
      </c>
      <c r="H333">
        <f ca="1" t="shared" si="60"/>
        <v>0.707505042972</v>
      </c>
      <c r="I333">
        <f ca="1" t="shared" si="61"/>
        <v>1758</v>
      </c>
      <c r="J333">
        <f ca="1" t="shared" si="62"/>
        <v>54</v>
      </c>
      <c r="K333">
        <f ca="1" t="shared" si="63"/>
        <v>29098</v>
      </c>
      <c r="L333">
        <f ca="1" t="shared" si="64"/>
        <v>3627</v>
      </c>
      <c r="M333">
        <f ca="1" t="shared" si="65"/>
        <v>0.0256487907312</v>
      </c>
    </row>
    <row r="334" spans="1:13">
      <c r="A334" t="str">
        <f ca="1">OFFSET($N$2,(ROW(334:334)-2)/35,0)</f>
        <v>江苏省</v>
      </c>
      <c r="B334">
        <f ca="1">OFFSET($O$1,0,MOD(ROW(334:334)-2,35))</f>
        <v>2007</v>
      </c>
      <c r="C334">
        <f ca="1" t="shared" si="55"/>
        <v>0.30874284</v>
      </c>
      <c r="D334">
        <f ca="1" t="shared" si="56"/>
        <v>6</v>
      </c>
      <c r="E334">
        <f ca="1" t="shared" si="57"/>
        <v>0</v>
      </c>
      <c r="F334">
        <f ca="1" t="shared" si="58"/>
        <v>0.584635441824</v>
      </c>
      <c r="G334">
        <f ca="1" t="shared" si="59"/>
        <v>0.073982503035</v>
      </c>
      <c r="H334">
        <f ca="1" t="shared" si="60"/>
        <v>0.715218226002</v>
      </c>
      <c r="I334">
        <f ca="1" t="shared" si="61"/>
        <v>1255</v>
      </c>
      <c r="J334">
        <f ca="1" t="shared" si="62"/>
        <v>50</v>
      </c>
      <c r="K334">
        <f ca="1" t="shared" si="63"/>
        <v>20622</v>
      </c>
      <c r="L334">
        <f ca="1" t="shared" si="64"/>
        <v>4601</v>
      </c>
      <c r="M334">
        <f ca="1" t="shared" si="65"/>
        <v>0.0229589997048</v>
      </c>
    </row>
    <row r="335" spans="1:13">
      <c r="A335" t="str">
        <f ca="1">OFFSET($N$2,(ROW(335:335)-2)/35,0)</f>
        <v>江苏省</v>
      </c>
      <c r="B335">
        <f ca="1">OFFSET($O$1,0,MOD(ROW(335:335)-2,35))</f>
        <v>2008</v>
      </c>
      <c r="C335">
        <f ca="1" t="shared" si="55"/>
        <v>0.32135376</v>
      </c>
      <c r="D335">
        <f ca="1" t="shared" si="56"/>
        <v>6</v>
      </c>
      <c r="E335">
        <f ca="1" t="shared" si="57"/>
        <v>0</v>
      </c>
      <c r="F335">
        <f ca="1" t="shared" si="58"/>
        <v>0.593251176336</v>
      </c>
      <c r="G335">
        <f ca="1" t="shared" si="59"/>
        <v>0.0777563625384</v>
      </c>
      <c r="H335">
        <f ca="1" t="shared" si="60"/>
        <v>0.68785772328</v>
      </c>
      <c r="I335">
        <f ca="1" t="shared" si="61"/>
        <v>1895</v>
      </c>
      <c r="J335">
        <f ca="1" t="shared" si="62"/>
        <v>55</v>
      </c>
      <c r="K335">
        <f ca="1" t="shared" si="63"/>
        <v>33312</v>
      </c>
      <c r="L335">
        <f ca="1" t="shared" si="64"/>
        <v>4527</v>
      </c>
      <c r="M335">
        <f ca="1" t="shared" si="65"/>
        <v>0.0274032123456</v>
      </c>
    </row>
    <row r="336" spans="1:13">
      <c r="A336" t="str">
        <f ca="1">OFFSET($N$2,(ROW(336:336)-2)/35,0)</f>
        <v>江苏省</v>
      </c>
      <c r="B336">
        <f ca="1">OFFSET($O$1,0,MOD(ROW(336:336)-2,35))</f>
        <v>2009</v>
      </c>
      <c r="C336">
        <f ca="1" t="shared" si="55"/>
        <v>0.34021176</v>
      </c>
      <c r="D336">
        <f ca="1" t="shared" si="56"/>
        <v>6</v>
      </c>
      <c r="E336">
        <f ca="1" t="shared" si="57"/>
        <v>0</v>
      </c>
      <c r="F336">
        <f ca="1" t="shared" si="58"/>
        <v>0.629890733248</v>
      </c>
      <c r="G336">
        <f ca="1" t="shared" si="59"/>
        <v>0.07220994606</v>
      </c>
      <c r="H336">
        <f ca="1" t="shared" si="60"/>
        <v>0.821118093348</v>
      </c>
      <c r="I336">
        <f ca="1" t="shared" si="61"/>
        <v>1743</v>
      </c>
      <c r="J336">
        <f ca="1" t="shared" si="62"/>
        <v>57</v>
      </c>
      <c r="K336">
        <f ca="1" t="shared" si="63"/>
        <v>25463</v>
      </c>
      <c r="L336">
        <f ca="1" t="shared" si="64"/>
        <v>4246</v>
      </c>
      <c r="M336">
        <f ca="1" t="shared" si="65"/>
        <v>0.0249574486968</v>
      </c>
    </row>
    <row r="337" spans="1:13">
      <c r="A337" t="str">
        <f ca="1">OFFSET($N$2,(ROW(337:337)-2)/35,0)</f>
        <v>江苏省</v>
      </c>
      <c r="B337">
        <f ca="1">OFFSET($O$1,0,MOD(ROW(337:337)-2,35))</f>
        <v>2010</v>
      </c>
      <c r="C337">
        <f ca="1" t="shared" si="55"/>
        <v>0.3447108</v>
      </c>
      <c r="D337">
        <f ca="1" t="shared" si="56"/>
        <v>7</v>
      </c>
      <c r="E337">
        <f ca="1" t="shared" si="57"/>
        <v>0</v>
      </c>
      <c r="F337">
        <f ca="1" t="shared" si="58"/>
        <v>0.575092518</v>
      </c>
      <c r="G337">
        <f ca="1" t="shared" si="59"/>
        <v>0.077892575922</v>
      </c>
      <c r="H337">
        <f ca="1" t="shared" si="60"/>
        <v>0.81281083086</v>
      </c>
      <c r="I337">
        <f ca="1" t="shared" si="61"/>
        <v>1966</v>
      </c>
      <c r="J337">
        <f ca="1" t="shared" si="62"/>
        <v>66</v>
      </c>
      <c r="K337">
        <f ca="1" t="shared" si="63"/>
        <v>35593</v>
      </c>
      <c r="L337">
        <f ca="1" t="shared" si="64"/>
        <v>3837</v>
      </c>
      <c r="M337">
        <f ca="1" t="shared" si="65"/>
        <v>0.027087374664</v>
      </c>
    </row>
    <row r="338" spans="1:13">
      <c r="A338" t="str">
        <f ca="1">OFFSET($N$2,(ROW(338:338)-2)/35,0)</f>
        <v>江苏省</v>
      </c>
      <c r="B338">
        <f ca="1">OFFSET($O$1,0,MOD(ROW(338:338)-2,35))</f>
        <v>2011</v>
      </c>
      <c r="C338">
        <f ca="1" t="shared" si="55"/>
        <v>0.35354508</v>
      </c>
      <c r="D338">
        <f ca="1" t="shared" si="56"/>
        <v>7</v>
      </c>
      <c r="E338">
        <f ca="1" t="shared" si="57"/>
        <v>0</v>
      </c>
      <c r="F338">
        <f ca="1" t="shared" si="58"/>
        <v>0.65771169716</v>
      </c>
      <c r="G338">
        <f ca="1" t="shared" si="59"/>
        <v>0.0814868377638</v>
      </c>
      <c r="H338">
        <f ca="1" t="shared" si="60"/>
        <v>0.803501903316</v>
      </c>
      <c r="I338">
        <f ca="1" t="shared" si="61"/>
        <v>1742</v>
      </c>
      <c r="J338">
        <f ca="1" t="shared" si="62"/>
        <v>37</v>
      </c>
      <c r="K338">
        <f ca="1" t="shared" si="63"/>
        <v>23230</v>
      </c>
      <c r="L338">
        <f ca="1" t="shared" si="64"/>
        <v>6585</v>
      </c>
      <c r="M338">
        <f ca="1" t="shared" si="65"/>
        <v>0.0299917342008</v>
      </c>
    </row>
    <row r="339" spans="1:13">
      <c r="A339" t="str">
        <f ca="1">OFFSET($N$2,(ROW(339:339)-2)/35,0)</f>
        <v>江苏省</v>
      </c>
      <c r="B339">
        <f ca="1">OFFSET($O$1,0,MOD(ROW(339:339)-2,35))</f>
        <v>2012</v>
      </c>
      <c r="C339">
        <f ca="1" t="shared" si="55"/>
        <v>0.36911616</v>
      </c>
      <c r="D339">
        <f ca="1" t="shared" si="56"/>
        <v>8</v>
      </c>
      <c r="E339">
        <f ca="1" t="shared" si="57"/>
        <v>0</v>
      </c>
      <c r="F339">
        <f ca="1" t="shared" si="58"/>
        <v>0.618269568</v>
      </c>
      <c r="G339">
        <f ca="1" t="shared" si="59"/>
        <v>0.0917456671488</v>
      </c>
      <c r="H339">
        <f ca="1" t="shared" si="60"/>
        <v>0.875340517632</v>
      </c>
      <c r="I339">
        <f ca="1" t="shared" si="61"/>
        <v>1481</v>
      </c>
      <c r="J339">
        <f ca="1" t="shared" si="62"/>
        <v>72</v>
      </c>
      <c r="K339">
        <f ca="1" t="shared" si="63"/>
        <v>32390</v>
      </c>
      <c r="L339">
        <f ca="1" t="shared" si="64"/>
        <v>6216</v>
      </c>
      <c r="M339">
        <f ca="1" t="shared" si="65"/>
        <v>0.0309888835584</v>
      </c>
    </row>
    <row r="340" spans="1:13">
      <c r="A340" t="str">
        <f ca="1">OFFSET($N$2,(ROW(340:340)-2)/35,0)</f>
        <v>江苏省</v>
      </c>
      <c r="B340">
        <f ca="1">OFFSET($O$1,0,MOD(ROW(340:340)-2,35))</f>
        <v>2013</v>
      </c>
      <c r="C340">
        <f ca="1" t="shared" si="55"/>
        <v>0.37704744</v>
      </c>
      <c r="D340">
        <f ca="1" t="shared" si="56"/>
        <v>8</v>
      </c>
      <c r="E340">
        <f ca="1" t="shared" si="57"/>
        <v>0</v>
      </c>
      <c r="F340">
        <f ca="1" t="shared" si="58"/>
        <v>0.648911212488</v>
      </c>
      <c r="G340">
        <f ca="1" t="shared" si="59"/>
        <v>0.0909890882208</v>
      </c>
      <c r="H340">
        <f ca="1" t="shared" si="60"/>
        <v>0.846113307732</v>
      </c>
      <c r="I340">
        <f ca="1" t="shared" si="61"/>
        <v>2256</v>
      </c>
      <c r="J340">
        <f ca="1" t="shared" si="62"/>
        <v>59</v>
      </c>
      <c r="K340">
        <f ca="1" t="shared" si="63"/>
        <v>30683</v>
      </c>
      <c r="L340">
        <f ca="1" t="shared" si="64"/>
        <v>7259</v>
      </c>
      <c r="M340">
        <f ca="1" t="shared" si="65"/>
        <v>0.0280824933312</v>
      </c>
    </row>
    <row r="341" spans="1:13">
      <c r="A341" t="str">
        <f ca="1">OFFSET($N$2,(ROW(341:341)-2)/35,0)</f>
        <v>江苏省</v>
      </c>
      <c r="B341">
        <f ca="1">OFFSET($O$1,0,MOD(ROW(341:341)-2,35))</f>
        <v>2014</v>
      </c>
      <c r="C341">
        <f ca="1" t="shared" si="55"/>
        <v>0.38833032</v>
      </c>
      <c r="D341">
        <f ca="1" t="shared" si="56"/>
        <v>8</v>
      </c>
      <c r="E341">
        <f ca="1" t="shared" si="57"/>
        <v>0</v>
      </c>
      <c r="F341">
        <f ca="1" t="shared" si="58"/>
        <v>0.726708416504</v>
      </c>
      <c r="G341">
        <f ca="1" t="shared" si="59"/>
        <v>0.082025071842</v>
      </c>
      <c r="H341">
        <f ca="1" t="shared" si="60"/>
        <v>0.78267975996</v>
      </c>
      <c r="I341">
        <f ca="1" t="shared" si="61"/>
        <v>1561</v>
      </c>
      <c r="J341">
        <f ca="1" t="shared" si="62"/>
        <v>51</v>
      </c>
      <c r="K341">
        <f ca="1" t="shared" si="63"/>
        <v>36641</v>
      </c>
      <c r="L341">
        <f ca="1" t="shared" si="64"/>
        <v>7537</v>
      </c>
      <c r="M341">
        <f ca="1" t="shared" si="65"/>
        <v>0.029088714756</v>
      </c>
    </row>
    <row r="342" spans="1:13">
      <c r="A342" t="str">
        <f ca="1">OFFSET($N$2,(ROW(342:342)-2)/35,0)</f>
        <v>江苏省</v>
      </c>
      <c r="B342">
        <f ca="1">OFFSET($O$1,0,MOD(ROW(342:342)-2,35))</f>
        <v>2015</v>
      </c>
      <c r="C342">
        <f ca="1" t="shared" si="55"/>
        <v>0.3905496</v>
      </c>
      <c r="D342">
        <f ca="1" t="shared" si="56"/>
        <v>8</v>
      </c>
      <c r="E342">
        <f ca="1" t="shared" si="57"/>
        <v>0</v>
      </c>
      <c r="F342">
        <f ca="1" t="shared" si="58"/>
        <v>0.72827085744</v>
      </c>
      <c r="G342">
        <f ca="1" t="shared" si="59"/>
        <v>0.0887035779</v>
      </c>
      <c r="H342">
        <f ca="1" t="shared" si="60"/>
        <v>0.90787160016</v>
      </c>
      <c r="I342">
        <f ca="1" t="shared" si="61"/>
        <v>1593</v>
      </c>
      <c r="J342">
        <f ca="1" t="shared" si="62"/>
        <v>101</v>
      </c>
      <c r="K342">
        <f ca="1" t="shared" si="63"/>
        <v>44066</v>
      </c>
      <c r="L342">
        <f ca="1" t="shared" si="64"/>
        <v>6176</v>
      </c>
      <c r="M342">
        <f ca="1" t="shared" si="65"/>
        <v>0.033083456616</v>
      </c>
    </row>
    <row r="343" spans="1:13">
      <c r="A343" t="str">
        <f ca="1">OFFSET($N$2,(ROW(343:343)-2)/35,0)</f>
        <v>江苏省</v>
      </c>
      <c r="B343">
        <f ca="1">OFFSET($O$1,0,MOD(ROW(343:343)-2,35))</f>
        <v>2016</v>
      </c>
      <c r="C343">
        <f ca="1" t="shared" si="55"/>
        <v>0.40515552</v>
      </c>
      <c r="D343">
        <f ca="1" t="shared" si="56"/>
        <v>9</v>
      </c>
      <c r="E343">
        <f ca="1" t="shared" si="57"/>
        <v>0</v>
      </c>
      <c r="F343">
        <f ca="1" t="shared" si="58"/>
        <v>0.738274388544</v>
      </c>
      <c r="G343">
        <f ca="1" t="shared" si="59"/>
        <v>0.0964857613104</v>
      </c>
      <c r="H343">
        <f ca="1" t="shared" si="60"/>
        <v>0.889762037472</v>
      </c>
      <c r="I343">
        <f ca="1" t="shared" si="61"/>
        <v>2273</v>
      </c>
      <c r="J343">
        <f ca="1" t="shared" si="62"/>
        <v>58</v>
      </c>
      <c r="K343">
        <f ca="1" t="shared" si="63"/>
        <v>33253</v>
      </c>
      <c r="L343">
        <f ca="1" t="shared" si="64"/>
        <v>7106</v>
      </c>
      <c r="M343">
        <f ca="1" t="shared" si="65"/>
        <v>0.0321988667616</v>
      </c>
    </row>
    <row r="344" spans="1:13">
      <c r="A344" t="str">
        <f ca="1">OFFSET($N$2,(ROW(344:344)-2)/35,0)</f>
        <v>江苏省</v>
      </c>
      <c r="B344">
        <f ca="1">OFFSET($O$1,0,MOD(ROW(344:344)-2,35))</f>
        <v>2017</v>
      </c>
      <c r="C344">
        <f ca="1" t="shared" si="55"/>
        <v>0.4076142</v>
      </c>
      <c r="D344">
        <f ca="1" t="shared" si="56"/>
        <v>10</v>
      </c>
      <c r="E344">
        <f ca="1" t="shared" si="57"/>
        <v>0</v>
      </c>
      <c r="F344">
        <f ca="1" t="shared" si="58"/>
        <v>0.724194562</v>
      </c>
      <c r="G344">
        <f ca="1" t="shared" si="59"/>
        <v>0.088719268701</v>
      </c>
      <c r="H344">
        <f ca="1" t="shared" si="60"/>
        <v>0.87957030147</v>
      </c>
      <c r="I344">
        <f ca="1" t="shared" si="61"/>
        <v>1871</v>
      </c>
      <c r="J344">
        <f ca="1" t="shared" si="62"/>
        <v>114</v>
      </c>
      <c r="K344">
        <f ca="1" t="shared" si="63"/>
        <v>40371</v>
      </c>
      <c r="L344">
        <f ca="1" t="shared" si="64"/>
        <v>6178</v>
      </c>
      <c r="M344">
        <f ca="1" t="shared" si="65"/>
        <v>0.033764431104</v>
      </c>
    </row>
    <row r="345" spans="1:13">
      <c r="A345" t="str">
        <f ca="1">OFFSET($N$2,(ROW(345:345)-2)/35,0)</f>
        <v>江苏省</v>
      </c>
      <c r="B345">
        <f ca="1">OFFSET($O$1,0,MOD(ROW(345:345)-2,35))</f>
        <v>2018</v>
      </c>
      <c r="C345">
        <f ca="1" t="shared" si="55"/>
        <v>0.44633736</v>
      </c>
      <c r="D345">
        <f ca="1" t="shared" si="56"/>
        <v>10</v>
      </c>
      <c r="E345">
        <f ca="1" t="shared" si="57"/>
        <v>0</v>
      </c>
      <c r="F345">
        <f ca="1" t="shared" si="58"/>
        <v>0.863127186768</v>
      </c>
      <c r="G345">
        <f ca="1" t="shared" si="59"/>
        <v>0.0958130093844</v>
      </c>
      <c r="H345">
        <f ca="1" t="shared" si="60"/>
        <v>1.084354299252</v>
      </c>
      <c r="I345">
        <f ca="1" t="shared" si="61"/>
        <v>1861</v>
      </c>
      <c r="J345">
        <f ca="1" t="shared" si="62"/>
        <v>310</v>
      </c>
      <c r="K345">
        <f ca="1" t="shared" si="63"/>
        <v>49565</v>
      </c>
      <c r="L345">
        <f ca="1" t="shared" si="64"/>
        <v>8151</v>
      </c>
      <c r="M345">
        <f ca="1" t="shared" si="65"/>
        <v>0.0333356621688</v>
      </c>
    </row>
    <row r="346" spans="1:13">
      <c r="A346" t="str">
        <f ca="1">OFFSET($N$2,(ROW(346:346)-2)/35,0)</f>
        <v>江苏省</v>
      </c>
      <c r="B346">
        <f ca="1">OFFSET($O$1,0,MOD(ROW(346:346)-2,35))</f>
        <v>2019</v>
      </c>
      <c r="C346">
        <f ca="1" t="shared" si="55"/>
        <v>0.42588</v>
      </c>
      <c r="D346">
        <f ca="1" t="shared" si="56"/>
        <v>10</v>
      </c>
      <c r="E346">
        <f ca="1" t="shared" si="57"/>
        <v>0</v>
      </c>
      <c r="F346">
        <f ca="1" t="shared" si="58"/>
        <v>0.818697516</v>
      </c>
      <c r="G346">
        <f ca="1" t="shared" si="59"/>
        <v>0.1035463338</v>
      </c>
      <c r="H346">
        <f ca="1" t="shared" si="60"/>
        <v>0.876524922</v>
      </c>
      <c r="I346">
        <f ca="1" t="shared" si="61"/>
        <v>2497</v>
      </c>
      <c r="J346">
        <f ca="1" t="shared" si="62"/>
        <v>314</v>
      </c>
      <c r="K346">
        <f ca="1" t="shared" si="63"/>
        <v>25895</v>
      </c>
      <c r="L346">
        <f ca="1" t="shared" si="64"/>
        <v>5673</v>
      </c>
      <c r="M346">
        <f ca="1" t="shared" si="65"/>
        <v>0.0306006948</v>
      </c>
    </row>
    <row r="347" spans="1:13">
      <c r="A347" t="str">
        <f ca="1">OFFSET($N$2,(ROW(347:347)-2)/35,0)</f>
        <v>江苏省</v>
      </c>
      <c r="B347">
        <f ca="1">OFFSET($O$1,0,MOD(ROW(347:347)-2,35))</f>
        <v>2020</v>
      </c>
      <c r="C347">
        <f ca="1" t="shared" si="55"/>
        <v>0.4447296</v>
      </c>
      <c r="D347">
        <f ca="1" t="shared" si="56"/>
        <v>10</v>
      </c>
      <c r="E347">
        <f ca="1" t="shared" si="57"/>
        <v>1</v>
      </c>
      <c r="F347">
        <f ca="1" t="shared" si="58"/>
        <v>0.74695301184</v>
      </c>
      <c r="G347">
        <f ca="1" t="shared" si="59"/>
        <v>0.100869120576</v>
      </c>
      <c r="H347">
        <f ca="1" t="shared" si="60"/>
        <v>1.01607371712</v>
      </c>
      <c r="I347">
        <f ca="1" t="shared" si="61"/>
        <v>2097</v>
      </c>
      <c r="J347">
        <f ca="1" t="shared" si="62"/>
        <v>273</v>
      </c>
      <c r="K347">
        <f ca="1" t="shared" si="63"/>
        <v>28285</v>
      </c>
      <c r="L347">
        <f ca="1" t="shared" si="64"/>
        <v>7873</v>
      </c>
      <c r="M347">
        <f ca="1" t="shared" si="65"/>
        <v>0.033106306752</v>
      </c>
    </row>
    <row r="348" spans="1:13">
      <c r="A348" t="str">
        <f ca="1">OFFSET($N$2,(ROW(348:348)-2)/35,0)</f>
        <v>江苏省</v>
      </c>
      <c r="B348">
        <f ca="1">OFFSET($O$1,0,MOD(ROW(348:348)-2,35))</f>
        <v>2021</v>
      </c>
      <c r="C348">
        <f ca="1" t="shared" si="55"/>
        <v>0.4556412</v>
      </c>
      <c r="D348">
        <f ca="1" t="shared" si="56"/>
        <v>11</v>
      </c>
      <c r="E348">
        <f ca="1" t="shared" si="57"/>
        <v>1</v>
      </c>
      <c r="F348">
        <f ca="1" t="shared" si="58"/>
        <v>0.87964571268</v>
      </c>
      <c r="G348">
        <f ca="1" t="shared" si="59"/>
        <v>0.102004395444</v>
      </c>
      <c r="H348">
        <f ca="1" t="shared" si="60"/>
        <v>0.97753263048</v>
      </c>
      <c r="I348">
        <f ca="1" t="shared" si="61"/>
        <v>2144</v>
      </c>
      <c r="J348">
        <f ca="1" t="shared" si="62"/>
        <v>338</v>
      </c>
      <c r="K348">
        <f ca="1" t="shared" si="63"/>
        <v>42129</v>
      </c>
      <c r="L348">
        <f ca="1" t="shared" si="64"/>
        <v>7016</v>
      </c>
      <c r="M348">
        <f ca="1" t="shared" si="65"/>
        <v>0.032765809608</v>
      </c>
    </row>
    <row r="349" spans="1:13">
      <c r="A349" t="str">
        <f ca="1">OFFSET($N$2,(ROW(349:349)-2)/35,0)</f>
        <v>江苏省</v>
      </c>
      <c r="B349">
        <f ca="1">OFFSET($O$1,0,MOD(ROW(349:349)-2,35))</f>
        <v>2022</v>
      </c>
      <c r="C349">
        <f ca="1" t="shared" si="55"/>
        <v>0.48414744</v>
      </c>
      <c r="D349">
        <f ca="1" t="shared" si="56"/>
        <v>11</v>
      </c>
      <c r="E349">
        <f ca="1" t="shared" si="57"/>
        <v>1</v>
      </c>
      <c r="F349">
        <f ca="1" t="shared" si="58"/>
        <v>0.838511089584</v>
      </c>
      <c r="G349">
        <f ca="1" t="shared" si="59"/>
        <v>0.0975702335832</v>
      </c>
      <c r="H349">
        <f ca="1" t="shared" si="60"/>
        <v>1.011650283252</v>
      </c>
      <c r="I349">
        <f ca="1" t="shared" si="61"/>
        <v>2280</v>
      </c>
      <c r="J349">
        <f ca="1" t="shared" si="62"/>
        <v>456</v>
      </c>
      <c r="K349">
        <f ca="1" t="shared" si="63"/>
        <v>29781</v>
      </c>
      <c r="L349">
        <f ca="1" t="shared" si="64"/>
        <v>8005</v>
      </c>
      <c r="M349">
        <f ca="1" t="shared" si="65"/>
        <v>0.0360364772376</v>
      </c>
    </row>
    <row r="350" spans="1:13">
      <c r="A350" t="str">
        <f ca="1">OFFSET($N$2,(ROW(350:350)-2)/35,0)</f>
        <v>江苏省</v>
      </c>
      <c r="B350">
        <f ca="1">OFFSET($O$1,0,MOD(ROW(350:350)-2,35))</f>
        <v>2023</v>
      </c>
      <c r="C350">
        <f ca="1" t="shared" si="55"/>
        <v>0.47591712</v>
      </c>
      <c r="D350">
        <f ca="1" t="shared" si="56"/>
        <v>11</v>
      </c>
      <c r="E350">
        <f ca="1" t="shared" si="57"/>
        <v>1</v>
      </c>
      <c r="F350">
        <f ca="1" t="shared" si="58"/>
        <v>0.867930051744</v>
      </c>
      <c r="G350">
        <f ca="1" t="shared" si="59"/>
        <v>0.1038284584848</v>
      </c>
      <c r="H350">
        <f ca="1" t="shared" si="60"/>
        <v>1.011585634416</v>
      </c>
      <c r="I350">
        <f ca="1" t="shared" si="61"/>
        <v>2482</v>
      </c>
      <c r="J350">
        <f ca="1" t="shared" si="62"/>
        <v>413</v>
      </c>
      <c r="K350">
        <f ca="1" t="shared" si="63"/>
        <v>38358</v>
      </c>
      <c r="L350">
        <f ca="1" t="shared" si="64"/>
        <v>7057</v>
      </c>
      <c r="M350">
        <f ca="1" t="shared" si="65"/>
        <v>0.0376899163776</v>
      </c>
    </row>
    <row r="351" spans="1:13">
      <c r="A351" t="str">
        <f ca="1">OFFSET($N$2,(ROW(351:351)-2)/35,0)</f>
        <v>江苏省</v>
      </c>
      <c r="B351">
        <f ca="1">OFFSET($O$1,0,MOD(ROW(351:351)-2,35))</f>
        <v>2024</v>
      </c>
      <c r="C351">
        <f ca="1" t="shared" si="55"/>
        <v>0.5148528</v>
      </c>
      <c r="D351">
        <f ca="1" t="shared" si="56"/>
        <v>11</v>
      </c>
      <c r="E351">
        <f ca="1" t="shared" si="57"/>
        <v>1</v>
      </c>
      <c r="F351">
        <f ca="1" t="shared" si="58"/>
        <v>0.96250014784</v>
      </c>
      <c r="G351">
        <f ca="1" t="shared" si="59"/>
        <v>0.111254541552</v>
      </c>
      <c r="H351">
        <f ca="1" t="shared" si="60"/>
        <v>1.14009004032</v>
      </c>
      <c r="I351">
        <f ca="1" t="shared" si="61"/>
        <v>2372</v>
      </c>
      <c r="J351">
        <f ca="1" t="shared" si="62"/>
        <v>317</v>
      </c>
      <c r="K351">
        <f ca="1" t="shared" si="63"/>
        <v>33718</v>
      </c>
      <c r="L351">
        <f ca="1" t="shared" si="64"/>
        <v>6488</v>
      </c>
      <c r="M351">
        <f ca="1" t="shared" si="65"/>
        <v>0.043260138768</v>
      </c>
    </row>
    <row r="352" spans="1:13">
      <c r="A352" t="str">
        <f ca="1">OFFSET($N$2,(ROW(352:352)-2)/35,0)</f>
        <v>浙江省</v>
      </c>
      <c r="B352">
        <f ca="1">OFFSET($O$1,0,MOD(ROW(352:352)-2,35))</f>
        <v>1990</v>
      </c>
      <c r="C352">
        <f ca="1" t="shared" si="55"/>
        <v>0.1168356</v>
      </c>
      <c r="D352">
        <f ca="1" t="shared" si="56"/>
        <v>3</v>
      </c>
      <c r="E352">
        <f ca="1" t="shared" si="57"/>
        <v>0</v>
      </c>
      <c r="F352">
        <f ca="1" t="shared" si="58"/>
        <v>0.19621370664</v>
      </c>
      <c r="G352">
        <f ca="1" t="shared" si="59"/>
        <v>0.023649862152</v>
      </c>
      <c r="H352">
        <f ca="1" t="shared" si="60"/>
        <v>0.27423067854</v>
      </c>
      <c r="I352">
        <f ca="1" t="shared" si="61"/>
        <v>508</v>
      </c>
      <c r="J352">
        <f ca="1" t="shared" si="62"/>
        <v>23</v>
      </c>
      <c r="K352">
        <f ca="1" t="shared" si="63"/>
        <v>13601</v>
      </c>
      <c r="L352">
        <f ca="1" t="shared" si="64"/>
        <v>2102</v>
      </c>
      <c r="M352">
        <f ca="1" t="shared" si="65"/>
        <v>0.00983338482</v>
      </c>
    </row>
    <row r="353" spans="1:13">
      <c r="A353" t="str">
        <f ca="1">OFFSET($N$2,(ROW(353:353)-2)/35,0)</f>
        <v>浙江省</v>
      </c>
      <c r="B353">
        <f ca="1">OFFSET($O$1,0,MOD(ROW(353:353)-2,35))</f>
        <v>1991</v>
      </c>
      <c r="C353">
        <f ca="1" t="shared" si="55"/>
        <v>0.12157992</v>
      </c>
      <c r="D353">
        <f ca="1" t="shared" si="56"/>
        <v>4</v>
      </c>
      <c r="E353">
        <f ca="1" t="shared" si="57"/>
        <v>0</v>
      </c>
      <c r="F353">
        <f ca="1" t="shared" si="58"/>
        <v>0.242928838152</v>
      </c>
      <c r="G353">
        <f ca="1" t="shared" si="59"/>
        <v>0.0257494112568</v>
      </c>
      <c r="H353">
        <f ca="1" t="shared" si="60"/>
        <v>0.285639864048</v>
      </c>
      <c r="I353">
        <f ca="1" t="shared" si="61"/>
        <v>501</v>
      </c>
      <c r="J353">
        <f ca="1" t="shared" si="62"/>
        <v>18</v>
      </c>
      <c r="K353">
        <f ca="1" t="shared" si="63"/>
        <v>12624</v>
      </c>
      <c r="L353">
        <f ca="1" t="shared" si="64"/>
        <v>1252</v>
      </c>
      <c r="M353">
        <f ca="1" t="shared" si="65"/>
        <v>0.0088036020072</v>
      </c>
    </row>
    <row r="354" spans="1:13">
      <c r="A354" t="str">
        <f ca="1">OFFSET($N$2,(ROW(354:354)-2)/35,0)</f>
        <v>浙江省</v>
      </c>
      <c r="B354">
        <f ca="1">OFFSET($O$1,0,MOD(ROW(354:354)-2,35))</f>
        <v>1992</v>
      </c>
      <c r="C354">
        <f ca="1" t="shared" si="55"/>
        <v>0.13551552</v>
      </c>
      <c r="D354">
        <f ca="1" t="shared" si="56"/>
        <v>5</v>
      </c>
      <c r="E354">
        <f ca="1" t="shared" si="57"/>
        <v>0</v>
      </c>
      <c r="F354">
        <f ca="1" t="shared" si="58"/>
        <v>0.226270263744</v>
      </c>
      <c r="G354">
        <f ca="1" t="shared" si="59"/>
        <v>0.0304862489568</v>
      </c>
      <c r="H354">
        <f ca="1" t="shared" si="60"/>
        <v>0.299611263168</v>
      </c>
      <c r="I354">
        <f ca="1" t="shared" si="61"/>
        <v>665</v>
      </c>
      <c r="J354">
        <f ca="1" t="shared" si="62"/>
        <v>23</v>
      </c>
      <c r="K354">
        <f ca="1" t="shared" si="63"/>
        <v>16189</v>
      </c>
      <c r="L354">
        <f ca="1" t="shared" si="64"/>
        <v>1705</v>
      </c>
      <c r="M354">
        <f ca="1" t="shared" si="65"/>
        <v>0.0109405551168</v>
      </c>
    </row>
    <row r="355" spans="1:13">
      <c r="A355" t="str">
        <f ca="1">OFFSET($N$2,(ROW(355:355)-2)/35,0)</f>
        <v>浙江省</v>
      </c>
      <c r="B355">
        <f ca="1">OFFSET($O$1,0,MOD(ROW(355:355)-2,35))</f>
        <v>1993</v>
      </c>
      <c r="C355">
        <f ca="1" t="shared" si="55"/>
        <v>0.15155868</v>
      </c>
      <c r="D355">
        <f ca="1" t="shared" si="56"/>
        <v>5</v>
      </c>
      <c r="E355">
        <f ca="1" t="shared" si="57"/>
        <v>0</v>
      </c>
      <c r="F355">
        <f ca="1" t="shared" si="58"/>
        <v>0.294372424164</v>
      </c>
      <c r="G355">
        <f ca="1" t="shared" si="59"/>
        <v>0.031887946272</v>
      </c>
      <c r="H355">
        <f ca="1" t="shared" si="60"/>
        <v>0.336285977118</v>
      </c>
      <c r="I355">
        <f ca="1" t="shared" si="61"/>
        <v>805</v>
      </c>
      <c r="J355">
        <f ca="1" t="shared" si="62"/>
        <v>21</v>
      </c>
      <c r="K355">
        <f ca="1" t="shared" si="63"/>
        <v>15175</v>
      </c>
      <c r="L355">
        <f ca="1" t="shared" si="64"/>
        <v>1844</v>
      </c>
      <c r="M355">
        <f ca="1" t="shared" si="65"/>
        <v>0.0122180112444</v>
      </c>
    </row>
    <row r="356" spans="1:13">
      <c r="A356" t="str">
        <f ca="1">OFFSET($N$2,(ROW(356:356)-2)/35,0)</f>
        <v>浙江省</v>
      </c>
      <c r="B356">
        <f ca="1">OFFSET($O$1,0,MOD(ROW(356:356)-2,35))</f>
        <v>1994</v>
      </c>
      <c r="C356">
        <f ca="1" t="shared" si="55"/>
        <v>0.16039464</v>
      </c>
      <c r="D356">
        <f ca="1" t="shared" si="56"/>
        <v>5</v>
      </c>
      <c r="E356">
        <f ca="1" t="shared" si="57"/>
        <v>1</v>
      </c>
      <c r="F356">
        <f ca="1" t="shared" si="58"/>
        <v>0.317624159104</v>
      </c>
      <c r="G356">
        <f ca="1" t="shared" si="59"/>
        <v>0.0378419074152</v>
      </c>
      <c r="H356">
        <f ca="1" t="shared" si="60"/>
        <v>0.333885502356</v>
      </c>
      <c r="I356">
        <f ca="1" t="shared" si="61"/>
        <v>769</v>
      </c>
      <c r="J356">
        <f ca="1" t="shared" si="62"/>
        <v>22</v>
      </c>
      <c r="K356">
        <f ca="1" t="shared" si="63"/>
        <v>13075</v>
      </c>
      <c r="L356">
        <f ca="1" t="shared" si="64"/>
        <v>2930</v>
      </c>
      <c r="M356">
        <f ca="1" t="shared" si="65"/>
        <v>0.0131796275688</v>
      </c>
    </row>
    <row r="357" spans="1:13">
      <c r="A357" t="str">
        <f ca="1">OFFSET($N$2,(ROW(357:357)-2)/35,0)</f>
        <v>浙江省</v>
      </c>
      <c r="B357">
        <f ca="1">OFFSET($O$1,0,MOD(ROW(357:357)-2,35))</f>
        <v>1995</v>
      </c>
      <c r="C357">
        <f ca="1" t="shared" si="55"/>
        <v>0.1712466</v>
      </c>
      <c r="D357">
        <f ca="1" t="shared" si="56"/>
        <v>6</v>
      </c>
      <c r="E357">
        <f ca="1" t="shared" si="57"/>
        <v>1</v>
      </c>
      <c r="F357">
        <f ca="1" t="shared" si="58"/>
        <v>0.32204064774</v>
      </c>
      <c r="G357">
        <f ca="1" t="shared" si="59"/>
        <v>0.040744703538</v>
      </c>
      <c r="H357">
        <f ca="1" t="shared" si="60"/>
        <v>0.41774751837</v>
      </c>
      <c r="I357">
        <f ca="1" t="shared" si="61"/>
        <v>988</v>
      </c>
      <c r="J357">
        <f ca="1" t="shared" si="62"/>
        <v>26</v>
      </c>
      <c r="K357">
        <f ca="1" t="shared" si="63"/>
        <v>16229</v>
      </c>
      <c r="L357">
        <f ca="1" t="shared" si="64"/>
        <v>3356</v>
      </c>
      <c r="M357">
        <f ca="1" t="shared" si="65"/>
        <v>0.013340354778</v>
      </c>
    </row>
    <row r="358" spans="1:13">
      <c r="A358" t="str">
        <f ca="1">OFFSET($N$2,(ROW(358:358)-2)/35,0)</f>
        <v>浙江省</v>
      </c>
      <c r="B358">
        <f ca="1">OFFSET($O$1,0,MOD(ROW(358:358)-2,35))</f>
        <v>1996</v>
      </c>
      <c r="C358">
        <f ca="1" t="shared" si="55"/>
        <v>0.18689664</v>
      </c>
      <c r="D358">
        <f ca="1" t="shared" si="56"/>
        <v>6</v>
      </c>
      <c r="E358">
        <f ca="1" t="shared" si="57"/>
        <v>1</v>
      </c>
      <c r="F358">
        <f ca="1" t="shared" si="58"/>
        <v>0.320795622784</v>
      </c>
      <c r="G358">
        <f ca="1" t="shared" si="59"/>
        <v>0.0450084488448</v>
      </c>
      <c r="H358">
        <f ca="1" t="shared" si="60"/>
        <v>0.437964241344</v>
      </c>
      <c r="I358">
        <f ca="1" t="shared" si="61"/>
        <v>826</v>
      </c>
      <c r="J358">
        <f ca="1" t="shared" si="62"/>
        <v>26</v>
      </c>
      <c r="K358">
        <f ca="1" t="shared" si="63"/>
        <v>16918</v>
      </c>
      <c r="L358">
        <f ca="1" t="shared" si="64"/>
        <v>2101</v>
      </c>
      <c r="M358">
        <f ca="1" t="shared" si="65"/>
        <v>0.014427085632</v>
      </c>
    </row>
    <row r="359" spans="1:13">
      <c r="A359" t="str">
        <f ca="1">OFFSET($N$2,(ROW(359:359)-2)/35,0)</f>
        <v>浙江省</v>
      </c>
      <c r="B359">
        <f ca="1">OFFSET($O$1,0,MOD(ROW(359:359)-2,35))</f>
        <v>1997</v>
      </c>
      <c r="C359">
        <f ca="1" t="shared" si="55"/>
        <v>0.18958128</v>
      </c>
      <c r="D359">
        <f ca="1" t="shared" si="56"/>
        <v>6</v>
      </c>
      <c r="E359">
        <f ca="1" t="shared" si="57"/>
        <v>1</v>
      </c>
      <c r="F359">
        <f ca="1" t="shared" si="58"/>
        <v>0.376805432752</v>
      </c>
      <c r="G359">
        <f ca="1" t="shared" si="59"/>
        <v>0.0445013617608</v>
      </c>
      <c r="H359">
        <f ca="1" t="shared" si="60"/>
        <v>0.45442632816</v>
      </c>
      <c r="I359">
        <f ca="1" t="shared" si="61"/>
        <v>915</v>
      </c>
      <c r="J359">
        <f ca="1" t="shared" si="62"/>
        <v>34</v>
      </c>
      <c r="K359">
        <f ca="1" t="shared" si="63"/>
        <v>15893</v>
      </c>
      <c r="L359">
        <f ca="1" t="shared" si="64"/>
        <v>2855</v>
      </c>
      <c r="M359">
        <f ca="1" t="shared" si="65"/>
        <v>0.0148745472288</v>
      </c>
    </row>
    <row r="360" spans="1:13">
      <c r="A360" t="str">
        <f ca="1">OFFSET($N$2,(ROW(360:360)-2)/35,0)</f>
        <v>浙江省</v>
      </c>
      <c r="B360">
        <f ca="1">OFFSET($O$1,0,MOD(ROW(360:360)-2,35))</f>
        <v>1998</v>
      </c>
      <c r="C360">
        <f ca="1" t="shared" si="55"/>
        <v>0.20058192</v>
      </c>
      <c r="D360">
        <f ca="1" t="shared" si="56"/>
        <v>6</v>
      </c>
      <c r="E360">
        <f ca="1" t="shared" si="57"/>
        <v>1</v>
      </c>
      <c r="F360">
        <f ca="1" t="shared" si="58"/>
        <v>0.392144339664</v>
      </c>
      <c r="G360">
        <f ca="1" t="shared" si="59"/>
        <v>0.0450737661528</v>
      </c>
      <c r="H360">
        <f ca="1" t="shared" si="60"/>
        <v>0.470876086296</v>
      </c>
      <c r="I360">
        <f ca="1" t="shared" si="61"/>
        <v>1052</v>
      </c>
      <c r="J360">
        <f ca="1" t="shared" si="62"/>
        <v>30</v>
      </c>
      <c r="K360">
        <f ca="1" t="shared" si="63"/>
        <v>16482</v>
      </c>
      <c r="L360">
        <f ca="1" t="shared" si="64"/>
        <v>3067</v>
      </c>
      <c r="M360">
        <f ca="1" t="shared" si="65"/>
        <v>0.0144037876752</v>
      </c>
    </row>
    <row r="361" spans="1:13">
      <c r="A361" t="str">
        <f ca="1">OFFSET($N$2,(ROW(361:361)-2)/35,0)</f>
        <v>浙江省</v>
      </c>
      <c r="B361">
        <f ca="1">OFFSET($O$1,0,MOD(ROW(361:361)-2,35))</f>
        <v>1999</v>
      </c>
      <c r="C361">
        <f ca="1" t="shared" si="55"/>
        <v>0.2188116</v>
      </c>
      <c r="D361">
        <f ca="1" t="shared" si="56"/>
        <v>6</v>
      </c>
      <c r="E361">
        <f ca="1" t="shared" si="57"/>
        <v>1</v>
      </c>
      <c r="F361">
        <f ca="1" t="shared" si="58"/>
        <v>0.43483699896</v>
      </c>
      <c r="G361">
        <f ca="1" t="shared" si="59"/>
        <v>0.046195504992</v>
      </c>
      <c r="H361">
        <f ca="1" t="shared" si="60"/>
        <v>0.50858380188</v>
      </c>
      <c r="I361">
        <f ca="1" t="shared" si="61"/>
        <v>1010</v>
      </c>
      <c r="J361">
        <f ca="1" t="shared" si="62"/>
        <v>37</v>
      </c>
      <c r="K361">
        <f ca="1" t="shared" si="63"/>
        <v>20661</v>
      </c>
      <c r="L361">
        <f ca="1" t="shared" si="64"/>
        <v>4362</v>
      </c>
      <c r="M361">
        <f ca="1" t="shared" si="65"/>
        <v>0.016836927444</v>
      </c>
    </row>
    <row r="362" spans="1:13">
      <c r="A362" t="str">
        <f ca="1">OFFSET($N$2,(ROW(362:362)-2)/35,0)</f>
        <v>浙江省</v>
      </c>
      <c r="B362">
        <f ca="1">OFFSET($O$1,0,MOD(ROW(362:362)-2,35))</f>
        <v>2000</v>
      </c>
      <c r="C362">
        <f ca="1" t="shared" si="55"/>
        <v>0.2230536</v>
      </c>
      <c r="D362">
        <f ca="1" t="shared" si="56"/>
        <v>6</v>
      </c>
      <c r="E362">
        <f ca="1" t="shared" si="57"/>
        <v>1</v>
      </c>
      <c r="F362">
        <f ca="1" t="shared" si="58"/>
        <v>0.37943647896</v>
      </c>
      <c r="G362">
        <f ca="1" t="shared" si="59"/>
        <v>0.05238413796</v>
      </c>
      <c r="H362">
        <f ca="1" t="shared" si="60"/>
        <v>0.49465481604</v>
      </c>
      <c r="I362">
        <f ca="1" t="shared" si="61"/>
        <v>1334</v>
      </c>
      <c r="J362">
        <f ca="1" t="shared" si="62"/>
        <v>34</v>
      </c>
      <c r="K362">
        <f ca="1" t="shared" si="63"/>
        <v>18617</v>
      </c>
      <c r="L362">
        <f ca="1" t="shared" si="64"/>
        <v>4254</v>
      </c>
      <c r="M362">
        <f ca="1" t="shared" si="65"/>
        <v>0.017390851896</v>
      </c>
    </row>
    <row r="363" spans="1:13">
      <c r="A363" t="str">
        <f ca="1">OFFSET($N$2,(ROW(363:363)-2)/35,0)</f>
        <v>浙江省</v>
      </c>
      <c r="B363">
        <f ca="1">OFFSET($O$1,0,MOD(ROW(363:363)-2,35))</f>
        <v>2001</v>
      </c>
      <c r="C363">
        <f ca="1" t="shared" si="55"/>
        <v>0.2358468</v>
      </c>
      <c r="D363">
        <f ca="1" t="shared" si="56"/>
        <v>6</v>
      </c>
      <c r="E363">
        <f ca="1" t="shared" si="57"/>
        <v>1</v>
      </c>
      <c r="F363">
        <f ca="1" t="shared" si="58"/>
        <v>0.44026308312</v>
      </c>
      <c r="G363">
        <f ca="1" t="shared" si="59"/>
        <v>0.04829552847</v>
      </c>
      <c r="H363">
        <f ca="1" t="shared" si="60"/>
        <v>0.5656195881</v>
      </c>
      <c r="I363">
        <f ca="1" t="shared" si="61"/>
        <v>992</v>
      </c>
      <c r="J363">
        <f ca="1" t="shared" si="62"/>
        <v>33</v>
      </c>
      <c r="K363">
        <f ca="1" t="shared" si="63"/>
        <v>15322</v>
      </c>
      <c r="L363">
        <f ca="1" t="shared" si="64"/>
        <v>2983</v>
      </c>
      <c r="M363">
        <f ca="1" t="shared" si="65"/>
        <v>0.020038891824</v>
      </c>
    </row>
    <row r="364" spans="1:13">
      <c r="A364" t="str">
        <f ca="1">OFFSET($N$2,(ROW(364:364)-2)/35,0)</f>
        <v>浙江省</v>
      </c>
      <c r="B364">
        <f ca="1">OFFSET($O$1,0,MOD(ROW(364:364)-2,35))</f>
        <v>2002</v>
      </c>
      <c r="C364">
        <f ca="1" t="shared" si="55"/>
        <v>0.253638</v>
      </c>
      <c r="D364">
        <f ca="1" t="shared" si="56"/>
        <v>6</v>
      </c>
      <c r="E364">
        <f ca="1" t="shared" si="57"/>
        <v>1</v>
      </c>
      <c r="F364">
        <f ca="1" t="shared" si="58"/>
        <v>0.4964710212</v>
      </c>
      <c r="G364">
        <f ca="1" t="shared" si="59"/>
        <v>0.05441930109</v>
      </c>
      <c r="H364">
        <f ca="1" t="shared" si="60"/>
        <v>0.5303316942</v>
      </c>
      <c r="I364">
        <f ca="1" t="shared" si="61"/>
        <v>1372</v>
      </c>
      <c r="J364">
        <f ca="1" t="shared" si="62"/>
        <v>38</v>
      </c>
      <c r="K364">
        <f ca="1" t="shared" si="63"/>
        <v>19143</v>
      </c>
      <c r="L364">
        <f ca="1" t="shared" si="64"/>
        <v>4075</v>
      </c>
      <c r="M364">
        <f ca="1" t="shared" si="65"/>
        <v>0.02124471888</v>
      </c>
    </row>
    <row r="365" spans="1:13">
      <c r="A365" t="str">
        <f ca="1">OFFSET($N$2,(ROW(365:365)-2)/35,0)</f>
        <v>浙江省</v>
      </c>
      <c r="B365">
        <f ca="1">OFFSET($O$1,0,MOD(ROW(365:365)-2,35))</f>
        <v>2003</v>
      </c>
      <c r="C365">
        <f ca="1" t="shared" si="55"/>
        <v>0.26887644</v>
      </c>
      <c r="D365">
        <f ca="1" t="shared" si="56"/>
        <v>6</v>
      </c>
      <c r="E365">
        <f ca="1" t="shared" si="57"/>
        <v>1</v>
      </c>
      <c r="F365">
        <f ca="1" t="shared" si="58"/>
        <v>0.509269902456</v>
      </c>
      <c r="G365">
        <f ca="1" t="shared" si="59"/>
        <v>0.0555848264412</v>
      </c>
      <c r="H365">
        <f ca="1" t="shared" si="60"/>
        <v>0.609018580422</v>
      </c>
      <c r="I365">
        <f ca="1" t="shared" si="61"/>
        <v>1570</v>
      </c>
      <c r="J365">
        <f ca="1" t="shared" si="62"/>
        <v>36</v>
      </c>
      <c r="K365">
        <f ca="1" t="shared" si="63"/>
        <v>23754</v>
      </c>
      <c r="L365">
        <f ca="1" t="shared" si="64"/>
        <v>4752</v>
      </c>
      <c r="M365">
        <f ca="1" t="shared" si="65"/>
        <v>0.0197274644028</v>
      </c>
    </row>
    <row r="366" spans="1:13">
      <c r="A366" t="str">
        <f ca="1">OFFSET($N$2,(ROW(366:366)-2)/35,0)</f>
        <v>浙江省</v>
      </c>
      <c r="B366">
        <f ca="1">OFFSET($O$1,0,MOD(ROW(366:366)-2,35))</f>
        <v>2004</v>
      </c>
      <c r="C366">
        <f ca="1" t="shared" si="55"/>
        <v>0.27504288</v>
      </c>
      <c r="D366">
        <f ca="1" t="shared" si="56"/>
        <v>6</v>
      </c>
      <c r="E366">
        <f ca="1" t="shared" si="57"/>
        <v>1</v>
      </c>
      <c r="F366">
        <f ca="1" t="shared" si="58"/>
        <v>0.491886686592</v>
      </c>
      <c r="G366">
        <f ca="1" t="shared" si="59"/>
        <v>0.0674666432496</v>
      </c>
      <c r="H366">
        <f ca="1" t="shared" si="60"/>
        <v>0.670582045728</v>
      </c>
      <c r="I366">
        <f ca="1" t="shared" si="61"/>
        <v>1281</v>
      </c>
      <c r="J366">
        <f ca="1" t="shared" si="62"/>
        <v>35</v>
      </c>
      <c r="K366">
        <f ca="1" t="shared" si="63"/>
        <v>32558</v>
      </c>
      <c r="L366">
        <f ca="1" t="shared" si="64"/>
        <v>4361</v>
      </c>
      <c r="M366">
        <f ca="1" t="shared" si="65"/>
        <v>0.0228694225536</v>
      </c>
    </row>
    <row r="367" spans="1:13">
      <c r="A367" t="str">
        <f ca="1">OFFSET($N$2,(ROW(367:367)-2)/35,0)</f>
        <v>浙江省</v>
      </c>
      <c r="B367">
        <f ca="1">OFFSET($O$1,0,MOD(ROW(367:367)-2,35))</f>
        <v>2005</v>
      </c>
      <c r="C367">
        <f ca="1" t="shared" si="55"/>
        <v>0.287889</v>
      </c>
      <c r="D367">
        <f ca="1" t="shared" si="56"/>
        <v>6</v>
      </c>
      <c r="E367">
        <f ca="1" t="shared" si="57"/>
        <v>1</v>
      </c>
      <c r="F367">
        <f ca="1" t="shared" si="58"/>
        <v>0.5423252982</v>
      </c>
      <c r="G367">
        <f ca="1" t="shared" si="59"/>
        <v>0.06856652313</v>
      </c>
      <c r="H367">
        <f ca="1" t="shared" si="60"/>
        <v>0.6894653661</v>
      </c>
      <c r="I367">
        <f ca="1" t="shared" si="61"/>
        <v>1274</v>
      </c>
      <c r="J367">
        <f ca="1" t="shared" si="62"/>
        <v>47</v>
      </c>
      <c r="K367">
        <f ca="1" t="shared" si="63"/>
        <v>23369</v>
      </c>
      <c r="L367">
        <f ca="1" t="shared" si="64"/>
        <v>2881</v>
      </c>
      <c r="M367">
        <f ca="1" t="shared" si="65"/>
        <v>0.02413208979</v>
      </c>
    </row>
    <row r="368" spans="1:13">
      <c r="A368" t="str">
        <f ca="1">OFFSET($N$2,(ROW(368:368)-2)/35,0)</f>
        <v>浙江省</v>
      </c>
      <c r="B368">
        <f ca="1">OFFSET($O$1,0,MOD(ROW(368:368)-2,35))</f>
        <v>2006</v>
      </c>
      <c r="C368">
        <f ca="1" t="shared" si="55"/>
        <v>0.2903628</v>
      </c>
      <c r="D368">
        <f ca="1" t="shared" si="56"/>
        <v>6</v>
      </c>
      <c r="E368">
        <f ca="1" t="shared" si="57"/>
        <v>1</v>
      </c>
      <c r="F368">
        <f ca="1" t="shared" si="58"/>
        <v>0.51056426876</v>
      </c>
      <c r="G368">
        <f ca="1" t="shared" si="59"/>
        <v>0.058643122902</v>
      </c>
      <c r="H368">
        <f ca="1" t="shared" si="60"/>
        <v>0.66982342518</v>
      </c>
      <c r="I368">
        <f ca="1" t="shared" si="61"/>
        <v>1278</v>
      </c>
      <c r="J368">
        <f ca="1" t="shared" si="62"/>
        <v>46</v>
      </c>
      <c r="K368">
        <f ca="1" t="shared" si="63"/>
        <v>28755</v>
      </c>
      <c r="L368">
        <f ca="1" t="shared" si="64"/>
        <v>4003</v>
      </c>
      <c r="M368">
        <f ca="1" t="shared" si="65"/>
        <v>0.023453432964</v>
      </c>
    </row>
    <row r="369" spans="1:13">
      <c r="A369" t="str">
        <f ca="1">OFFSET($N$2,(ROW(369:369)-2)/35,0)</f>
        <v>浙江省</v>
      </c>
      <c r="B369">
        <f ca="1">OFFSET($O$1,0,MOD(ROW(369:369)-2,35))</f>
        <v>2007</v>
      </c>
      <c r="C369">
        <f ca="1" t="shared" si="55"/>
        <v>0.29867292</v>
      </c>
      <c r="D369">
        <f ca="1" t="shared" si="56"/>
        <v>6</v>
      </c>
      <c r="E369">
        <f ca="1" t="shared" si="57"/>
        <v>1</v>
      </c>
      <c r="F369">
        <f ca="1" t="shared" si="58"/>
        <v>0.568145584188</v>
      </c>
      <c r="G369">
        <f ca="1" t="shared" si="59"/>
        <v>0.0683035100748</v>
      </c>
      <c r="H369">
        <f ca="1" t="shared" si="60"/>
        <v>0.683632446588</v>
      </c>
      <c r="I369">
        <f ca="1" t="shared" si="61"/>
        <v>1694</v>
      </c>
      <c r="J369">
        <f ca="1" t="shared" si="62"/>
        <v>57</v>
      </c>
      <c r="K369">
        <f ca="1" t="shared" si="63"/>
        <v>22840</v>
      </c>
      <c r="L369">
        <f ca="1" t="shared" si="64"/>
        <v>3694</v>
      </c>
      <c r="M369">
        <f ca="1" t="shared" si="65"/>
        <v>0.02457651456</v>
      </c>
    </row>
    <row r="370" spans="1:13">
      <c r="A370" t="str">
        <f ca="1">OFFSET($N$2,(ROW(370:370)-2)/35,0)</f>
        <v>浙江省</v>
      </c>
      <c r="B370">
        <f ca="1">OFFSET($O$1,0,MOD(ROW(370:370)-2,35))</f>
        <v>2008</v>
      </c>
      <c r="C370">
        <f ca="1" t="shared" si="55"/>
        <v>0.30630096</v>
      </c>
      <c r="D370">
        <f ca="1" t="shared" si="56"/>
        <v>6</v>
      </c>
      <c r="E370">
        <f ca="1" t="shared" si="57"/>
        <v>1</v>
      </c>
      <c r="F370">
        <f ca="1" t="shared" si="58"/>
        <v>0.572129353152</v>
      </c>
      <c r="G370">
        <f ca="1" t="shared" si="59"/>
        <v>0.062738094132</v>
      </c>
      <c r="H370">
        <f ca="1" t="shared" si="60"/>
        <v>0.710296611192</v>
      </c>
      <c r="I370">
        <f ca="1" t="shared" si="61"/>
        <v>1398</v>
      </c>
      <c r="J370">
        <f ca="1" t="shared" si="62"/>
        <v>38</v>
      </c>
      <c r="K370">
        <f ca="1" t="shared" si="63"/>
        <v>26808</v>
      </c>
      <c r="L370">
        <f ca="1" t="shared" si="64"/>
        <v>5174</v>
      </c>
      <c r="M370">
        <f ca="1" t="shared" si="65"/>
        <v>0.025331089392</v>
      </c>
    </row>
    <row r="371" spans="1:13">
      <c r="A371" t="str">
        <f ca="1">OFFSET($N$2,(ROW(371:371)-2)/35,0)</f>
        <v>浙江省</v>
      </c>
      <c r="B371">
        <f ca="1">OFFSET($O$1,0,MOD(ROW(371:371)-2,35))</f>
        <v>2009</v>
      </c>
      <c r="C371">
        <f ca="1" t="shared" si="55"/>
        <v>0.32454828</v>
      </c>
      <c r="D371">
        <f ca="1" t="shared" si="56"/>
        <v>6</v>
      </c>
      <c r="E371">
        <f ca="1" t="shared" si="57"/>
        <v>1</v>
      </c>
      <c r="F371">
        <f ca="1" t="shared" si="58"/>
        <v>0.542612269332</v>
      </c>
      <c r="G371">
        <f ca="1" t="shared" si="59"/>
        <v>0.0661689033264</v>
      </c>
      <c r="H371">
        <f ca="1" t="shared" si="60"/>
        <v>0.71863102899</v>
      </c>
      <c r="I371">
        <f ca="1" t="shared" si="61"/>
        <v>1827</v>
      </c>
      <c r="J371">
        <f ca="1" t="shared" si="62"/>
        <v>56</v>
      </c>
      <c r="K371">
        <f ca="1" t="shared" si="63"/>
        <v>29573</v>
      </c>
      <c r="L371">
        <f ca="1" t="shared" si="64"/>
        <v>6415</v>
      </c>
      <c r="M371">
        <f ca="1" t="shared" si="65"/>
        <v>0.0242956842408</v>
      </c>
    </row>
    <row r="372" spans="1:13">
      <c r="A372" t="str">
        <f ca="1">OFFSET($N$2,(ROW(372:372)-2)/35,0)</f>
        <v>浙江省</v>
      </c>
      <c r="B372">
        <f ca="1">OFFSET($O$1,0,MOD(ROW(372:372)-2,35))</f>
        <v>2010</v>
      </c>
      <c r="C372">
        <f ca="1" t="shared" si="55"/>
        <v>0.3331188</v>
      </c>
      <c r="D372">
        <f ca="1" t="shared" si="56"/>
        <v>7</v>
      </c>
      <c r="E372">
        <f ca="1" t="shared" si="57"/>
        <v>1</v>
      </c>
      <c r="F372">
        <f ca="1" t="shared" si="58"/>
        <v>0.59087502348</v>
      </c>
      <c r="G372">
        <f ca="1" t="shared" si="59"/>
        <v>0.069210427482</v>
      </c>
      <c r="H372">
        <f ca="1" t="shared" si="60"/>
        <v>0.74861787924</v>
      </c>
      <c r="I372">
        <f ca="1" t="shared" si="61"/>
        <v>1933</v>
      </c>
      <c r="J372">
        <f ca="1" t="shared" si="62"/>
        <v>67</v>
      </c>
      <c r="K372">
        <f ca="1" t="shared" si="63"/>
        <v>27482</v>
      </c>
      <c r="L372">
        <f ca="1" t="shared" si="64"/>
        <v>3582</v>
      </c>
      <c r="M372">
        <f ca="1" t="shared" si="65"/>
        <v>0.027216757728</v>
      </c>
    </row>
    <row r="373" spans="1:13">
      <c r="A373" t="str">
        <f ca="1">OFFSET($N$2,(ROW(373:373)-2)/35,0)</f>
        <v>浙江省</v>
      </c>
      <c r="B373">
        <f ca="1">OFFSET($O$1,0,MOD(ROW(373:373)-2,35))</f>
        <v>2011</v>
      </c>
      <c r="C373">
        <f ca="1" t="shared" si="55"/>
        <v>0.35182644</v>
      </c>
      <c r="D373">
        <f ca="1" t="shared" si="56"/>
        <v>7</v>
      </c>
      <c r="E373">
        <f ca="1" t="shared" si="57"/>
        <v>1</v>
      </c>
      <c r="F373">
        <f ca="1" t="shared" si="58"/>
        <v>0.689556367304</v>
      </c>
      <c r="G373">
        <f ca="1" t="shared" si="59"/>
        <v>0.0766207621032</v>
      </c>
      <c r="H373">
        <f ca="1" t="shared" si="60"/>
        <v>0.869222402664</v>
      </c>
      <c r="I373">
        <f ca="1" t="shared" si="61"/>
        <v>1608</v>
      </c>
      <c r="J373">
        <f ca="1" t="shared" si="62"/>
        <v>40</v>
      </c>
      <c r="K373">
        <f ca="1" t="shared" si="63"/>
        <v>23563</v>
      </c>
      <c r="L373">
        <f ca="1" t="shared" si="64"/>
        <v>3601</v>
      </c>
      <c r="M373">
        <f ca="1" t="shared" si="65"/>
        <v>0.0285230721</v>
      </c>
    </row>
    <row r="374" spans="1:13">
      <c r="A374" t="str">
        <f ca="1">OFFSET($N$2,(ROW(374:374)-2)/35,0)</f>
        <v>浙江省</v>
      </c>
      <c r="B374">
        <f ca="1">OFFSET($O$1,0,MOD(ROW(374:374)-2,35))</f>
        <v>2012</v>
      </c>
      <c r="C374">
        <f ca="1" t="shared" si="55"/>
        <v>0.36400896</v>
      </c>
      <c r="D374">
        <f ca="1" t="shared" si="56"/>
        <v>8</v>
      </c>
      <c r="E374">
        <f ca="1" t="shared" si="57"/>
        <v>1</v>
      </c>
      <c r="F374">
        <f ca="1" t="shared" si="58"/>
        <v>0.620198466048</v>
      </c>
      <c r="G374">
        <f ca="1" t="shared" si="59"/>
        <v>0.0769223734272</v>
      </c>
      <c r="H374">
        <f ca="1" t="shared" si="60"/>
        <v>0.85414702464</v>
      </c>
      <c r="I374">
        <f ca="1" t="shared" si="61"/>
        <v>1491</v>
      </c>
      <c r="J374">
        <f ca="1" t="shared" si="62"/>
        <v>61</v>
      </c>
      <c r="K374">
        <f ca="1" t="shared" si="63"/>
        <v>41892</v>
      </c>
      <c r="L374">
        <f ca="1" t="shared" si="64"/>
        <v>5786</v>
      </c>
      <c r="M374">
        <f ca="1" t="shared" si="65"/>
        <v>0.028231494912</v>
      </c>
    </row>
    <row r="375" spans="1:13">
      <c r="A375" t="str">
        <f ca="1">OFFSET($N$2,(ROW(375:375)-2)/35,0)</f>
        <v>浙江省</v>
      </c>
      <c r="B375">
        <f ca="1">OFFSET($O$1,0,MOD(ROW(375:375)-2,35))</f>
        <v>2013</v>
      </c>
      <c r="C375">
        <f ca="1" t="shared" si="55"/>
        <v>0.3660426</v>
      </c>
      <c r="D375">
        <f ca="1" t="shared" si="56"/>
        <v>8</v>
      </c>
      <c r="E375">
        <f ca="1" t="shared" si="57"/>
        <v>1</v>
      </c>
      <c r="F375">
        <f ca="1" t="shared" si="58"/>
        <v>0.71583290856</v>
      </c>
      <c r="G375">
        <f ca="1" t="shared" si="59"/>
        <v>0.076949475372</v>
      </c>
      <c r="H375">
        <f ca="1" t="shared" si="60"/>
        <v>0.77242309452</v>
      </c>
      <c r="I375">
        <f ca="1" t="shared" si="61"/>
        <v>2174</v>
      </c>
      <c r="J375">
        <f ca="1" t="shared" si="62"/>
        <v>67</v>
      </c>
      <c r="K375">
        <f ca="1" t="shared" si="63"/>
        <v>38265</v>
      </c>
      <c r="L375">
        <f ca="1" t="shared" si="64"/>
        <v>5869</v>
      </c>
      <c r="M375">
        <f ca="1" t="shared" si="65"/>
        <v>0.029545389918</v>
      </c>
    </row>
    <row r="376" spans="1:13">
      <c r="A376" t="str">
        <f ca="1">OFFSET($N$2,(ROW(376:376)-2)/35,0)</f>
        <v>浙江省</v>
      </c>
      <c r="B376">
        <f ca="1">OFFSET($O$1,0,MOD(ROW(376:376)-2,35))</f>
        <v>2014</v>
      </c>
      <c r="C376">
        <f ca="1" t="shared" si="55"/>
        <v>0.37607808</v>
      </c>
      <c r="D376">
        <f ca="1" t="shared" si="56"/>
        <v>8</v>
      </c>
      <c r="E376">
        <f ca="1" t="shared" si="57"/>
        <v>1</v>
      </c>
      <c r="F376">
        <f ca="1" t="shared" si="58"/>
        <v>0.707478084096</v>
      </c>
      <c r="G376">
        <f ca="1" t="shared" si="59"/>
        <v>0.0907062721152</v>
      </c>
      <c r="H376">
        <f ca="1" t="shared" si="60"/>
        <v>0.916069791168</v>
      </c>
      <c r="I376">
        <f ca="1" t="shared" si="61"/>
        <v>2118</v>
      </c>
      <c r="J376">
        <f ca="1" t="shared" si="62"/>
        <v>62</v>
      </c>
      <c r="K376">
        <f ca="1" t="shared" si="63"/>
        <v>41600</v>
      </c>
      <c r="L376">
        <f ca="1" t="shared" si="64"/>
        <v>7304</v>
      </c>
      <c r="M376">
        <f ca="1" t="shared" si="65"/>
        <v>0.0305729988864</v>
      </c>
    </row>
    <row r="377" spans="1:13">
      <c r="A377" t="str">
        <f ca="1">OFFSET($N$2,(ROW(377:377)-2)/35,0)</f>
        <v>浙江省</v>
      </c>
      <c r="B377">
        <f ca="1">OFFSET($O$1,0,MOD(ROW(377:377)-2,35))</f>
        <v>2015</v>
      </c>
      <c r="C377">
        <f ca="1" t="shared" si="55"/>
        <v>0.4037502</v>
      </c>
      <c r="D377">
        <f ca="1" t="shared" si="56"/>
        <v>8</v>
      </c>
      <c r="E377">
        <f ca="1" t="shared" si="57"/>
        <v>1</v>
      </c>
      <c r="F377">
        <f ca="1" t="shared" si="58"/>
        <v>0.7154453544</v>
      </c>
      <c r="G377">
        <f ca="1" t="shared" si="59"/>
        <v>0.088540400109</v>
      </c>
      <c r="H377">
        <f ca="1" t="shared" si="60"/>
        <v>0.98416130001</v>
      </c>
      <c r="I377">
        <f ca="1" t="shared" si="61"/>
        <v>1929</v>
      </c>
      <c r="J377">
        <f ca="1" t="shared" si="62"/>
        <v>63</v>
      </c>
      <c r="K377">
        <f ca="1" t="shared" si="63"/>
        <v>31650</v>
      </c>
      <c r="L377">
        <f ca="1" t="shared" si="64"/>
        <v>4467</v>
      </c>
      <c r="M377">
        <f ca="1" t="shared" si="65"/>
        <v>0.032388264258</v>
      </c>
    </row>
    <row r="378" spans="1:13">
      <c r="A378" t="str">
        <f ca="1">OFFSET($N$2,(ROW(378:378)-2)/35,0)</f>
        <v>浙江省</v>
      </c>
      <c r="B378">
        <f ca="1">OFFSET($O$1,0,MOD(ROW(378:378)-2,35))</f>
        <v>2016</v>
      </c>
      <c r="C378">
        <f ca="1" t="shared" si="55"/>
        <v>0.42066864</v>
      </c>
      <c r="D378">
        <f ca="1" t="shared" si="56"/>
        <v>8</v>
      </c>
      <c r="E378">
        <f ca="1" t="shared" si="57"/>
        <v>1</v>
      </c>
      <c r="F378">
        <f ca="1" t="shared" si="58"/>
        <v>0.825520139136</v>
      </c>
      <c r="G378">
        <f ca="1" t="shared" si="59"/>
        <v>0.1003462973856</v>
      </c>
      <c r="H378">
        <f ca="1" t="shared" si="60"/>
        <v>0.90086189256</v>
      </c>
      <c r="I378">
        <f ca="1" t="shared" si="61"/>
        <v>2072</v>
      </c>
      <c r="J378">
        <f ca="1" t="shared" si="62"/>
        <v>105</v>
      </c>
      <c r="K378">
        <f ca="1" t="shared" si="63"/>
        <v>32211</v>
      </c>
      <c r="L378">
        <f ca="1" t="shared" si="64"/>
        <v>8138</v>
      </c>
      <c r="M378">
        <f ca="1" t="shared" si="65"/>
        <v>0.0338920704144</v>
      </c>
    </row>
    <row r="379" spans="1:13">
      <c r="A379" t="str">
        <f ca="1">OFFSET($N$2,(ROW(379:379)-2)/35,0)</f>
        <v>浙江省</v>
      </c>
      <c r="B379">
        <f ca="1">OFFSET($O$1,0,MOD(ROW(379:379)-2,35))</f>
        <v>2017</v>
      </c>
      <c r="C379">
        <f ca="1" t="shared" si="55"/>
        <v>0.42647976</v>
      </c>
      <c r="D379">
        <f ca="1" t="shared" si="56"/>
        <v>8</v>
      </c>
      <c r="E379">
        <f ca="1" t="shared" si="57"/>
        <v>1</v>
      </c>
      <c r="F379">
        <f ca="1" t="shared" si="58"/>
        <v>0.808520329008</v>
      </c>
      <c r="G379">
        <f ca="1" t="shared" si="59"/>
        <v>0.0927998633772</v>
      </c>
      <c r="H379">
        <f ca="1" t="shared" si="60"/>
        <v>0.877119598404</v>
      </c>
      <c r="I379">
        <f ca="1" t="shared" si="61"/>
        <v>2061</v>
      </c>
      <c r="J379">
        <f ca="1" t="shared" si="62"/>
        <v>81</v>
      </c>
      <c r="K379">
        <f ca="1" t="shared" si="63"/>
        <v>33301</v>
      </c>
      <c r="L379">
        <f ca="1" t="shared" si="64"/>
        <v>4577</v>
      </c>
      <c r="M379">
        <f ca="1" t="shared" si="65"/>
        <v>0.035294246424</v>
      </c>
    </row>
    <row r="380" spans="1:13">
      <c r="A380" t="str">
        <f ca="1">OFFSET($N$2,(ROW(380:380)-2)/35,0)</f>
        <v>浙江省</v>
      </c>
      <c r="B380">
        <f ca="1">OFFSET($O$1,0,MOD(ROW(380:380)-2,35))</f>
        <v>2018</v>
      </c>
      <c r="C380">
        <f ca="1" t="shared" si="55"/>
        <v>0.4403364</v>
      </c>
      <c r="D380">
        <f ca="1" t="shared" si="56"/>
        <v>8</v>
      </c>
      <c r="E380">
        <f ca="1" t="shared" si="57"/>
        <v>2</v>
      </c>
      <c r="F380">
        <f ca="1" t="shared" si="58"/>
        <v>0.81669192108</v>
      </c>
      <c r="G380">
        <f ca="1" t="shared" si="59"/>
        <v>0.10725493863</v>
      </c>
      <c r="H380">
        <f ca="1" t="shared" si="60"/>
        <v>0.88126725414</v>
      </c>
      <c r="I380">
        <f ca="1" t="shared" si="61"/>
        <v>2196</v>
      </c>
      <c r="J380">
        <f ca="1" t="shared" si="62"/>
        <v>350</v>
      </c>
      <c r="K380">
        <f ca="1" t="shared" si="63"/>
        <v>40116</v>
      </c>
      <c r="L380">
        <f ca="1" t="shared" si="64"/>
        <v>8601</v>
      </c>
      <c r="M380">
        <f ca="1" t="shared" si="65"/>
        <v>0.035208669492</v>
      </c>
    </row>
    <row r="381" spans="1:13">
      <c r="A381" t="str">
        <f ca="1">OFFSET($N$2,(ROW(381:381)-2)/35,0)</f>
        <v>浙江省</v>
      </c>
      <c r="B381">
        <f ca="1">OFFSET($O$1,0,MOD(ROW(381:381)-2,35))</f>
        <v>2019</v>
      </c>
      <c r="C381">
        <f ca="1" t="shared" si="55"/>
        <v>0.453726</v>
      </c>
      <c r="D381">
        <f ca="1" t="shared" si="56"/>
        <v>8</v>
      </c>
      <c r="E381">
        <f ca="1" t="shared" si="57"/>
        <v>2</v>
      </c>
      <c r="F381">
        <f ca="1" t="shared" si="58"/>
        <v>0.8989975722</v>
      </c>
      <c r="G381">
        <f ca="1" t="shared" si="59"/>
        <v>0.11011022568</v>
      </c>
      <c r="H381">
        <f ca="1" t="shared" si="60"/>
        <v>0.9850845186</v>
      </c>
      <c r="I381">
        <f ca="1" t="shared" si="61"/>
        <v>2255</v>
      </c>
      <c r="J381">
        <f ca="1" t="shared" si="62"/>
        <v>400</v>
      </c>
      <c r="K381">
        <f ca="1" t="shared" si="63"/>
        <v>34854</v>
      </c>
      <c r="L381">
        <f ca="1" t="shared" si="64"/>
        <v>8810</v>
      </c>
      <c r="M381">
        <f ca="1" t="shared" si="65"/>
        <v>0.033575724</v>
      </c>
    </row>
    <row r="382" spans="1:13">
      <c r="A382" t="str">
        <f ca="1">OFFSET($N$2,(ROW(382:382)-2)/35,0)</f>
        <v>浙江省</v>
      </c>
      <c r="B382">
        <f ca="1">OFFSET($O$1,0,MOD(ROW(382:382)-2,35))</f>
        <v>2020</v>
      </c>
      <c r="C382">
        <f ca="1" t="shared" si="55"/>
        <v>0.4607904</v>
      </c>
      <c r="D382">
        <f ca="1" t="shared" si="56"/>
        <v>8</v>
      </c>
      <c r="E382">
        <f ca="1" t="shared" si="57"/>
        <v>2</v>
      </c>
      <c r="F382">
        <f ca="1" t="shared" si="58"/>
        <v>0.82940736032</v>
      </c>
      <c r="G382">
        <f ca="1" t="shared" si="59"/>
        <v>0.11292820728</v>
      </c>
      <c r="H382">
        <f ca="1" t="shared" si="60"/>
        <v>1.00272598944</v>
      </c>
      <c r="I382">
        <f ca="1" t="shared" si="61"/>
        <v>2055</v>
      </c>
      <c r="J382">
        <f ca="1" t="shared" si="62"/>
        <v>384</v>
      </c>
      <c r="K382">
        <f ca="1" t="shared" si="63"/>
        <v>35588</v>
      </c>
      <c r="L382">
        <f ca="1" t="shared" si="64"/>
        <v>6921</v>
      </c>
      <c r="M382">
        <f ca="1" t="shared" si="65"/>
        <v>0.03408861552</v>
      </c>
    </row>
    <row r="383" spans="1:13">
      <c r="A383" t="str">
        <f ca="1">OFFSET($N$2,(ROW(383:383)-2)/35,0)</f>
        <v>浙江省</v>
      </c>
      <c r="B383">
        <f ca="1">OFFSET($O$1,0,MOD(ROW(383:383)-2,35))</f>
        <v>2021</v>
      </c>
      <c r="C383">
        <f ca="1" t="shared" si="55"/>
        <v>0.46263252</v>
      </c>
      <c r="D383">
        <f ca="1" t="shared" si="56"/>
        <v>8</v>
      </c>
      <c r="E383">
        <f ca="1" t="shared" si="57"/>
        <v>2</v>
      </c>
      <c r="F383">
        <f ca="1" t="shared" si="58"/>
        <v>0.842006607484</v>
      </c>
      <c r="G383">
        <f ca="1" t="shared" si="59"/>
        <v>0.114975747033</v>
      </c>
      <c r="H383">
        <f ca="1" t="shared" si="60"/>
        <v>0.948951825024</v>
      </c>
      <c r="I383">
        <f ca="1" t="shared" si="61"/>
        <v>2184</v>
      </c>
      <c r="J383">
        <f ca="1" t="shared" si="62"/>
        <v>346</v>
      </c>
      <c r="K383">
        <f ca="1" t="shared" si="63"/>
        <v>40169</v>
      </c>
      <c r="L383">
        <f ca="1" t="shared" si="64"/>
        <v>5255</v>
      </c>
      <c r="M383">
        <f ca="1" t="shared" si="65"/>
        <v>0.0348983536944</v>
      </c>
    </row>
    <row r="384" spans="1:13">
      <c r="A384" t="str">
        <f ca="1">OFFSET($N$2,(ROW(384:384)-2)/35,0)</f>
        <v>浙江省</v>
      </c>
      <c r="B384">
        <f ca="1">OFFSET($O$1,0,MOD(ROW(384:384)-2,35))</f>
        <v>2022</v>
      </c>
      <c r="C384">
        <f ca="1" t="shared" si="55"/>
        <v>0.4596984</v>
      </c>
      <c r="D384">
        <f ca="1" t="shared" si="56"/>
        <v>8</v>
      </c>
      <c r="E384">
        <f ca="1" t="shared" si="57"/>
        <v>2</v>
      </c>
      <c r="F384">
        <f ca="1" t="shared" si="58"/>
        <v>0.885685584</v>
      </c>
      <c r="G384">
        <f ca="1" t="shared" si="59"/>
        <v>0.111837725244</v>
      </c>
      <c r="H384">
        <f ca="1" t="shared" si="60"/>
        <v>1.07256830688</v>
      </c>
      <c r="I384">
        <f ca="1" t="shared" si="61"/>
        <v>1856</v>
      </c>
      <c r="J384">
        <f ca="1" t="shared" si="62"/>
        <v>248</v>
      </c>
      <c r="K384">
        <f ca="1" t="shared" si="63"/>
        <v>35992</v>
      </c>
      <c r="L384">
        <f ca="1" t="shared" si="64"/>
        <v>6911</v>
      </c>
      <c r="M384">
        <f ca="1" t="shared" si="65"/>
        <v>0.037328823504</v>
      </c>
    </row>
    <row r="385" spans="1:13">
      <c r="A385" t="str">
        <f ca="1">OFFSET($N$2,(ROW(385:385)-2)/35,0)</f>
        <v>浙江省</v>
      </c>
      <c r="B385">
        <f ca="1">OFFSET($O$1,0,MOD(ROW(385:385)-2,35))</f>
        <v>2023</v>
      </c>
      <c r="C385">
        <f ca="1" t="shared" si="55"/>
        <v>0.48014316</v>
      </c>
      <c r="D385">
        <f ca="1" t="shared" si="56"/>
        <v>8</v>
      </c>
      <c r="E385">
        <f ca="1" t="shared" si="57"/>
        <v>2</v>
      </c>
      <c r="F385">
        <f ca="1" t="shared" si="58"/>
        <v>0.932229954684</v>
      </c>
      <c r="G385">
        <f ca="1" t="shared" si="59"/>
        <v>0.1145957679972</v>
      </c>
      <c r="H385">
        <f ca="1" t="shared" si="60"/>
        <v>1.146677894712</v>
      </c>
      <c r="I385">
        <f ca="1" t="shared" si="61"/>
        <v>2174</v>
      </c>
      <c r="J385">
        <f ca="1" t="shared" si="62"/>
        <v>449</v>
      </c>
      <c r="K385">
        <f ca="1" t="shared" si="63"/>
        <v>35144</v>
      </c>
      <c r="L385">
        <f ca="1" t="shared" si="64"/>
        <v>8644</v>
      </c>
      <c r="M385">
        <f ca="1" t="shared" si="65"/>
        <v>0.0367570166544</v>
      </c>
    </row>
    <row r="386" spans="1:13">
      <c r="A386" t="str">
        <f ca="1">OFFSET($N$2,(ROW(386:386)-2)/35,0)</f>
        <v>浙江省</v>
      </c>
      <c r="B386">
        <f ca="1">OFFSET($O$1,0,MOD(ROW(386:386)-2,35))</f>
        <v>2024</v>
      </c>
      <c r="C386">
        <f ca="1" t="shared" si="55"/>
        <v>0.50291472</v>
      </c>
      <c r="D386">
        <f ca="1" t="shared" si="56"/>
        <v>8</v>
      </c>
      <c r="E386">
        <f ca="1" t="shared" si="57"/>
        <v>2</v>
      </c>
      <c r="F386">
        <f ca="1" t="shared" si="58"/>
        <v>0.932286544112</v>
      </c>
      <c r="G386">
        <f ca="1" t="shared" si="59"/>
        <v>0.11020118802</v>
      </c>
      <c r="H386">
        <f ca="1" t="shared" si="60"/>
        <v>1.223013161832</v>
      </c>
      <c r="I386">
        <f ca="1" t="shared" si="61"/>
        <v>2162</v>
      </c>
      <c r="J386">
        <f ca="1" t="shared" si="62"/>
        <v>285</v>
      </c>
      <c r="K386">
        <f ca="1" t="shared" si="63"/>
        <v>59079</v>
      </c>
      <c r="L386">
        <f ca="1" t="shared" si="64"/>
        <v>8502</v>
      </c>
      <c r="M386">
        <f ca="1" t="shared" si="65"/>
        <v>0.0377789537664</v>
      </c>
    </row>
    <row r="387" spans="1:13">
      <c r="A387" t="str">
        <f ca="1">OFFSET($N$2,(ROW(387:387)-2)/35,0)</f>
        <v>安徽省</v>
      </c>
      <c r="B387">
        <f ca="1">OFFSET($O$1,0,MOD(ROW(387:387)-2,35))</f>
        <v>1990</v>
      </c>
      <c r="C387">
        <f ca="1" t="shared" ref="C387:C450" si="66">IF(OR(A387="北京市",A387="上海市",A387="广东省"),(B387-1980)*RANDBETWEEN(15000,16000)/500000,IF(OR(A387="西藏自治区",A387="新疆维吾尔自治区",A387="青海省",A387="广西壮族自治区",A387="内蒙古自治区",A387="宁夏回族自治区",A387="贵州省",A387="甘肃省",A387="陕西省",A387="云南省"),(B387-1980)*RANDBETWEEN(7000,8000)/500000,IF(OR(A387="浙江省",A387="江苏省",A387="山东省",A387="辽宁省"),(B387-1980)*RANDBETWEEN(13000,14000)/500000,(B387-1980)*RANDBETWEEN(10000,11000)/500000)))*0.42</f>
        <v>0.0881664</v>
      </c>
      <c r="D387">
        <f ca="1" t="shared" ref="D387:D450" si="67">IF($B387=1990,ROUND($C387*RANDBETWEEN(10000,20000)/500,0),ROUND(D386+RANDBETWEEN(0,5)/10,0))</f>
        <v>2</v>
      </c>
      <c r="E387">
        <f ca="1" t="shared" ref="E387:E450" si="68">IF($B387=1990,ROUND($C387*RANDBETWEEN(10000,20000)/5000,0),ROUND(E386+RANDBETWEEN(0,20)/40,0))</f>
        <v>0</v>
      </c>
      <c r="F387">
        <f ca="1" t="shared" ref="F387:F450" si="69">$C387*RANDBETWEEN(50000,60000)/30000</f>
        <v>0.17259160576</v>
      </c>
      <c r="G387">
        <f ca="1" t="shared" ref="G387:G450" si="70">$C387*RANDBETWEEN(40000,50000)/200000</f>
        <v>0.019680062976</v>
      </c>
      <c r="H387">
        <f ca="1" t="shared" ref="H387:H450" si="71">$C387*RANDBETWEEN(40000,50000)/20000</f>
        <v>0.20563490304</v>
      </c>
      <c r="I387">
        <f ca="1" t="shared" ref="I387:I450" si="72">ROUND($C387*RANDBETWEEN(20000,30000)/5,0)</f>
        <v>503</v>
      </c>
      <c r="J387">
        <f ca="1" t="shared" ref="J387:J450" si="73">IF(B387&lt;2015,ROUND($C387*RANDBETWEEN(10000,20000)/100,0),IF(B387&lt;2018,ROUND($C387*RANDBETWEEN(10000,20000)/70,0),ROUND($C387*RANDBETWEEN(10000,20000)/20,0)))</f>
        <v>12</v>
      </c>
      <c r="K387">
        <f ca="1" t="shared" ref="K387:K450" si="74">ROUND($C387*RANDBETWEEN(10000,20000)*6,0)</f>
        <v>7621</v>
      </c>
      <c r="L387">
        <f ca="1" t="shared" ref="L387:L450" si="75">ROUND($C387*RANDBETWEEN(10000,20000)*1,0)</f>
        <v>1438</v>
      </c>
      <c r="M387">
        <f ca="1" t="shared" ref="M387:M450" si="76">$C387*RANDBETWEEN(50000,60000)/700000</f>
        <v>0.006470658048</v>
      </c>
    </row>
    <row r="388" spans="1:13">
      <c r="A388" t="str">
        <f ca="1">OFFSET($N$2,(ROW(388:388)-2)/35,0)</f>
        <v>安徽省</v>
      </c>
      <c r="B388">
        <f ca="1">OFFSET($O$1,0,MOD(ROW(388:388)-2,35))</f>
        <v>1991</v>
      </c>
      <c r="C388">
        <f ca="1" t="shared" si="66"/>
        <v>0.09972732</v>
      </c>
      <c r="D388">
        <f ca="1" t="shared" si="67"/>
        <v>2</v>
      </c>
      <c r="E388">
        <f ca="1" t="shared" si="68"/>
        <v>0</v>
      </c>
      <c r="F388">
        <f ca="1" t="shared" si="69"/>
        <v>0.1923075154</v>
      </c>
      <c r="G388">
        <f ca="1" t="shared" si="70"/>
        <v>0.023745074892</v>
      </c>
      <c r="H388">
        <f ca="1" t="shared" si="71"/>
        <v>0.23149204155</v>
      </c>
      <c r="I388">
        <f ca="1" t="shared" si="72"/>
        <v>493</v>
      </c>
      <c r="J388">
        <f ca="1" t="shared" si="73"/>
        <v>19</v>
      </c>
      <c r="K388">
        <f ca="1" t="shared" si="74"/>
        <v>10283</v>
      </c>
      <c r="L388">
        <f ca="1" t="shared" si="75"/>
        <v>1538</v>
      </c>
      <c r="M388">
        <f ca="1" t="shared" si="76"/>
        <v>0.008338628628</v>
      </c>
    </row>
    <row r="389" spans="1:13">
      <c r="A389" t="str">
        <f ca="1">OFFSET($N$2,(ROW(389:389)-2)/35,0)</f>
        <v>安徽省</v>
      </c>
      <c r="B389">
        <f ca="1">OFFSET($O$1,0,MOD(ROW(389:389)-2,35))</f>
        <v>1992</v>
      </c>
      <c r="C389">
        <f ca="1" t="shared" si="66"/>
        <v>0.1068984</v>
      </c>
      <c r="D389">
        <f ca="1" t="shared" si="67"/>
        <v>2</v>
      </c>
      <c r="E389">
        <f ca="1" t="shared" si="68"/>
        <v>0</v>
      </c>
      <c r="F389">
        <f ca="1" t="shared" si="69"/>
        <v>0.196158564</v>
      </c>
      <c r="G389">
        <f ca="1" t="shared" si="70"/>
        <v>0.026647633152</v>
      </c>
      <c r="H389">
        <f ca="1" t="shared" si="71"/>
        <v>0.23313472056</v>
      </c>
      <c r="I389">
        <f ca="1" t="shared" si="72"/>
        <v>447</v>
      </c>
      <c r="J389">
        <f ca="1" t="shared" si="73"/>
        <v>20</v>
      </c>
      <c r="K389">
        <f ca="1" t="shared" si="74"/>
        <v>10106</v>
      </c>
      <c r="L389">
        <f ca="1" t="shared" si="75"/>
        <v>1349</v>
      </c>
      <c r="M389">
        <f ca="1" t="shared" si="76"/>
        <v>0.009028944288</v>
      </c>
    </row>
    <row r="390" spans="1:13">
      <c r="A390" t="str">
        <f ca="1">OFFSET($N$2,(ROW(390:390)-2)/35,0)</f>
        <v>安徽省</v>
      </c>
      <c r="B390">
        <f ca="1">OFFSET($O$1,0,MOD(ROW(390:390)-2,35))</f>
        <v>1993</v>
      </c>
      <c r="C390">
        <f ca="1" t="shared" si="66"/>
        <v>0.11271624</v>
      </c>
      <c r="D390">
        <f ca="1" t="shared" si="67"/>
        <v>2</v>
      </c>
      <c r="E390">
        <f ca="1" t="shared" si="68"/>
        <v>0</v>
      </c>
      <c r="F390">
        <f ca="1" t="shared" si="69"/>
        <v>0.188427738408</v>
      </c>
      <c r="G390">
        <f ca="1" t="shared" si="70"/>
        <v>0.0279434830584</v>
      </c>
      <c r="H390">
        <f ca="1" t="shared" si="71"/>
        <v>0.248719655184</v>
      </c>
      <c r="I390">
        <f ca="1" t="shared" si="72"/>
        <v>578</v>
      </c>
      <c r="J390">
        <f ca="1" t="shared" si="73"/>
        <v>18</v>
      </c>
      <c r="K390">
        <f ca="1" t="shared" si="74"/>
        <v>9671</v>
      </c>
      <c r="L390">
        <f ca="1" t="shared" si="75"/>
        <v>2135</v>
      </c>
      <c r="M390">
        <f ca="1" t="shared" si="76"/>
        <v>0.0088156981536</v>
      </c>
    </row>
    <row r="391" spans="1:13">
      <c r="A391" t="str">
        <f ca="1">OFFSET($N$2,(ROW(391:391)-2)/35,0)</f>
        <v>安徽省</v>
      </c>
      <c r="B391">
        <f ca="1">OFFSET($O$1,0,MOD(ROW(391:391)-2,35))</f>
        <v>1994</v>
      </c>
      <c r="C391">
        <f ca="1" t="shared" si="66"/>
        <v>0.12299784</v>
      </c>
      <c r="D391">
        <f ca="1" t="shared" si="67"/>
        <v>2</v>
      </c>
      <c r="E391">
        <f ca="1" t="shared" si="68"/>
        <v>0</v>
      </c>
      <c r="F391">
        <f ca="1" t="shared" si="69"/>
        <v>0.217546279608</v>
      </c>
      <c r="G391">
        <f ca="1" t="shared" si="70"/>
        <v>0.0252034873944</v>
      </c>
      <c r="H391">
        <f ca="1" t="shared" si="71"/>
        <v>0.258547609572</v>
      </c>
      <c r="I391">
        <f ca="1" t="shared" si="72"/>
        <v>595</v>
      </c>
      <c r="J391">
        <f ca="1" t="shared" si="73"/>
        <v>17</v>
      </c>
      <c r="K391">
        <f ca="1" t="shared" si="74"/>
        <v>11162</v>
      </c>
      <c r="L391">
        <f ca="1" t="shared" si="75"/>
        <v>1934</v>
      </c>
      <c r="M391">
        <f ca="1" t="shared" si="76"/>
        <v>0.0089192762232</v>
      </c>
    </row>
    <row r="392" spans="1:13">
      <c r="A392" t="str">
        <f ca="1">OFFSET($N$2,(ROW(392:392)-2)/35,0)</f>
        <v>安徽省</v>
      </c>
      <c r="B392">
        <f ca="1">OFFSET($O$1,0,MOD(ROW(392:392)-2,35))</f>
        <v>1995</v>
      </c>
      <c r="C392">
        <f ca="1" t="shared" si="66"/>
        <v>0.1307502</v>
      </c>
      <c r="D392">
        <f ca="1" t="shared" si="67"/>
        <v>3</v>
      </c>
      <c r="E392">
        <f ca="1" t="shared" si="68"/>
        <v>0</v>
      </c>
      <c r="F392">
        <f ca="1" t="shared" si="69"/>
        <v>0.23865398172</v>
      </c>
      <c r="G392">
        <f ca="1" t="shared" si="70"/>
        <v>0.029195212158</v>
      </c>
      <c r="H392">
        <f ca="1" t="shared" si="71"/>
        <v>0.26816212269</v>
      </c>
      <c r="I392">
        <f ca="1" t="shared" si="72"/>
        <v>778</v>
      </c>
      <c r="J392">
        <f ca="1" t="shared" si="73"/>
        <v>17</v>
      </c>
      <c r="K392">
        <f ca="1" t="shared" si="74"/>
        <v>13605</v>
      </c>
      <c r="L392">
        <f ca="1" t="shared" si="75"/>
        <v>2364</v>
      </c>
      <c r="M392">
        <f ca="1" t="shared" si="76"/>
        <v>0.010877856282</v>
      </c>
    </row>
    <row r="393" spans="1:13">
      <c r="A393" t="str">
        <f ca="1">OFFSET($N$2,(ROW(393:393)-2)/35,0)</f>
        <v>安徽省</v>
      </c>
      <c r="B393">
        <f ca="1">OFFSET($O$1,0,MOD(ROW(393:393)-2,35))</f>
        <v>1996</v>
      </c>
      <c r="C393">
        <f ca="1" t="shared" si="66"/>
        <v>0.13442688</v>
      </c>
      <c r="D393">
        <f ca="1" t="shared" si="67"/>
        <v>4</v>
      </c>
      <c r="E393">
        <f ca="1" t="shared" si="68"/>
        <v>0</v>
      </c>
      <c r="F393">
        <f ca="1" t="shared" si="69"/>
        <v>0.245042278656</v>
      </c>
      <c r="G393">
        <f ca="1" t="shared" si="70"/>
        <v>0.0287451718848</v>
      </c>
      <c r="H393">
        <f ca="1" t="shared" si="71"/>
        <v>0.277410030912</v>
      </c>
      <c r="I393">
        <f ca="1" t="shared" si="72"/>
        <v>655</v>
      </c>
      <c r="J393">
        <f ca="1" t="shared" si="73"/>
        <v>16</v>
      </c>
      <c r="K393">
        <f ca="1" t="shared" si="74"/>
        <v>14970</v>
      </c>
      <c r="L393">
        <f ca="1" t="shared" si="75"/>
        <v>1463</v>
      </c>
      <c r="M393">
        <f ca="1" t="shared" si="76"/>
        <v>0.0098062488576</v>
      </c>
    </row>
    <row r="394" spans="1:13">
      <c r="A394" t="str">
        <f ca="1">OFFSET($N$2,(ROW(394:394)-2)/35,0)</f>
        <v>安徽省</v>
      </c>
      <c r="B394">
        <f ca="1">OFFSET($O$1,0,MOD(ROW(394:394)-2,35))</f>
        <v>1997</v>
      </c>
      <c r="C394">
        <f ca="1" t="shared" si="66"/>
        <v>0.15426684</v>
      </c>
      <c r="D394">
        <f ca="1" t="shared" si="67"/>
        <v>4</v>
      </c>
      <c r="E394">
        <f ca="1" t="shared" si="68"/>
        <v>0</v>
      </c>
      <c r="F394">
        <f ca="1" t="shared" si="69"/>
        <v>0.27418359696</v>
      </c>
      <c r="G394">
        <f ca="1" t="shared" si="70"/>
        <v>0.0338777693982</v>
      </c>
      <c r="H394">
        <f ca="1" t="shared" si="71"/>
        <v>0.32735423448</v>
      </c>
      <c r="I394">
        <f ca="1" t="shared" si="72"/>
        <v>721</v>
      </c>
      <c r="J394">
        <f ca="1" t="shared" si="73"/>
        <v>21</v>
      </c>
      <c r="K394">
        <f ca="1" t="shared" si="74"/>
        <v>12223</v>
      </c>
      <c r="L394">
        <f ca="1" t="shared" si="75"/>
        <v>1759</v>
      </c>
      <c r="M394">
        <f ca="1" t="shared" si="76"/>
        <v>0.0116643361536</v>
      </c>
    </row>
    <row r="395" spans="1:13">
      <c r="A395" t="str">
        <f ca="1">OFFSET($N$2,(ROW(395:395)-2)/35,0)</f>
        <v>安徽省</v>
      </c>
      <c r="B395">
        <f ca="1">OFFSET($O$1,0,MOD(ROW(395:395)-2,35))</f>
        <v>1998</v>
      </c>
      <c r="C395">
        <f ca="1" t="shared" si="66"/>
        <v>0.1642788</v>
      </c>
      <c r="D395">
        <f ca="1" t="shared" si="67"/>
        <v>4</v>
      </c>
      <c r="E395">
        <f ca="1" t="shared" si="68"/>
        <v>0</v>
      </c>
      <c r="F395">
        <f ca="1" t="shared" si="69"/>
        <v>0.28240073316</v>
      </c>
      <c r="G395">
        <f ca="1" t="shared" si="70"/>
        <v>0.040584256146</v>
      </c>
      <c r="H395">
        <f ca="1" t="shared" si="71"/>
        <v>0.38374706286</v>
      </c>
      <c r="I395">
        <f ca="1" t="shared" si="72"/>
        <v>768</v>
      </c>
      <c r="J395">
        <f ca="1" t="shared" si="73"/>
        <v>27</v>
      </c>
      <c r="K395">
        <f ca="1" t="shared" si="74"/>
        <v>13364</v>
      </c>
      <c r="L395">
        <f ca="1" t="shared" si="75"/>
        <v>2088</v>
      </c>
      <c r="M395">
        <f ca="1" t="shared" si="76"/>
        <v>0.013552531632</v>
      </c>
    </row>
    <row r="396" spans="1:13">
      <c r="A396" t="str">
        <f ca="1">OFFSET($N$2,(ROW(396:396)-2)/35,0)</f>
        <v>安徽省</v>
      </c>
      <c r="B396">
        <f ca="1">OFFSET($O$1,0,MOD(ROW(396:396)-2,35))</f>
        <v>1999</v>
      </c>
      <c r="C396">
        <f ca="1" t="shared" si="66"/>
        <v>0.16449972</v>
      </c>
      <c r="D396">
        <f ca="1" t="shared" si="67"/>
        <v>4</v>
      </c>
      <c r="E396">
        <f ca="1" t="shared" si="68"/>
        <v>0</v>
      </c>
      <c r="F396">
        <f ca="1" t="shared" si="69"/>
        <v>0.321333753048</v>
      </c>
      <c r="G396">
        <f ca="1" t="shared" si="70"/>
        <v>0.0330249637872</v>
      </c>
      <c r="H396">
        <f ca="1" t="shared" si="71"/>
        <v>0.351692176374</v>
      </c>
      <c r="I396">
        <f ca="1" t="shared" si="72"/>
        <v>774</v>
      </c>
      <c r="J396">
        <f ca="1" t="shared" si="73"/>
        <v>32</v>
      </c>
      <c r="K396">
        <f ca="1" t="shared" si="74"/>
        <v>13918</v>
      </c>
      <c r="L396">
        <f ca="1" t="shared" si="75"/>
        <v>2453</v>
      </c>
      <c r="M396">
        <f ca="1" t="shared" si="76"/>
        <v>0.0120369145116</v>
      </c>
    </row>
    <row r="397" spans="1:13">
      <c r="A397" t="str">
        <f ca="1">OFFSET($N$2,(ROW(397:397)-2)/35,0)</f>
        <v>安徽省</v>
      </c>
      <c r="B397">
        <f ca="1">OFFSET($O$1,0,MOD(ROW(397:397)-2,35))</f>
        <v>2000</v>
      </c>
      <c r="C397">
        <f ca="1" t="shared" si="66"/>
        <v>0.1762656</v>
      </c>
      <c r="D397">
        <f ca="1" t="shared" si="67"/>
        <v>4</v>
      </c>
      <c r="E397">
        <f ca="1" t="shared" si="68"/>
        <v>0</v>
      </c>
      <c r="F397">
        <f ca="1" t="shared" si="69"/>
        <v>0.31938151616</v>
      </c>
      <c r="G397">
        <f ca="1" t="shared" si="70"/>
        <v>0.039093947424</v>
      </c>
      <c r="H397">
        <f ca="1" t="shared" si="71"/>
        <v>0.43201817232</v>
      </c>
      <c r="I397">
        <f ca="1" t="shared" si="72"/>
        <v>1047</v>
      </c>
      <c r="J397">
        <f ca="1" t="shared" si="73"/>
        <v>30</v>
      </c>
      <c r="K397">
        <f ca="1" t="shared" si="74"/>
        <v>11632</v>
      </c>
      <c r="L397">
        <f ca="1" t="shared" si="75"/>
        <v>2210</v>
      </c>
      <c r="M397">
        <f ca="1" t="shared" si="76"/>
        <v>0.014580438624</v>
      </c>
    </row>
    <row r="398" spans="1:13">
      <c r="A398" t="str">
        <f ca="1">OFFSET($N$2,(ROW(398:398)-2)/35,0)</f>
        <v>安徽省</v>
      </c>
      <c r="B398">
        <f ca="1">OFFSET($O$1,0,MOD(ROW(398:398)-2,35))</f>
        <v>2001</v>
      </c>
      <c r="C398">
        <f ca="1" t="shared" si="66"/>
        <v>0.18985932</v>
      </c>
      <c r="D398">
        <f ca="1" t="shared" si="67"/>
        <v>4</v>
      </c>
      <c r="E398">
        <f ca="1" t="shared" si="68"/>
        <v>0</v>
      </c>
      <c r="F398">
        <f ca="1" t="shared" si="69"/>
        <v>0.367656244536</v>
      </c>
      <c r="G398">
        <f ca="1" t="shared" si="70"/>
        <v>0.046188026073</v>
      </c>
      <c r="H398">
        <f ca="1" t="shared" si="71"/>
        <v>0.431759079612</v>
      </c>
      <c r="I398">
        <f ca="1" t="shared" si="72"/>
        <v>801</v>
      </c>
      <c r="J398">
        <f ca="1" t="shared" si="73"/>
        <v>22</v>
      </c>
      <c r="K398">
        <f ca="1" t="shared" si="74"/>
        <v>20491</v>
      </c>
      <c r="L398">
        <f ca="1" t="shared" si="75"/>
        <v>3640</v>
      </c>
      <c r="M398">
        <f ca="1" t="shared" si="76"/>
        <v>0.0153550081188</v>
      </c>
    </row>
    <row r="399" spans="1:13">
      <c r="A399" t="str">
        <f ca="1">OFFSET($N$2,(ROW(399:399)-2)/35,0)</f>
        <v>安徽省</v>
      </c>
      <c r="B399">
        <f ca="1">OFFSET($O$1,0,MOD(ROW(399:399)-2,35))</f>
        <v>2002</v>
      </c>
      <c r="C399">
        <f ca="1" t="shared" si="66"/>
        <v>0.19675656</v>
      </c>
      <c r="D399">
        <f ca="1" t="shared" si="67"/>
        <v>5</v>
      </c>
      <c r="E399">
        <f ca="1" t="shared" si="68"/>
        <v>0</v>
      </c>
      <c r="F399">
        <f ca="1" t="shared" si="69"/>
        <v>0.333279378432</v>
      </c>
      <c r="G399">
        <f ca="1" t="shared" si="70"/>
        <v>0.0420183471708</v>
      </c>
      <c r="H399">
        <f ca="1" t="shared" si="71"/>
        <v>0.418727473164</v>
      </c>
      <c r="I399">
        <f ca="1" t="shared" si="72"/>
        <v>1032</v>
      </c>
      <c r="J399">
        <f ca="1" t="shared" si="73"/>
        <v>24</v>
      </c>
      <c r="K399">
        <f ca="1" t="shared" si="74"/>
        <v>15882</v>
      </c>
      <c r="L399">
        <f ca="1" t="shared" si="75"/>
        <v>2977</v>
      </c>
      <c r="M399">
        <f ca="1" t="shared" si="76"/>
        <v>0.0150473795472</v>
      </c>
    </row>
    <row r="400" spans="1:13">
      <c r="A400" t="str">
        <f ca="1">OFFSET($N$2,(ROW(400:400)-2)/35,0)</f>
        <v>安徽省</v>
      </c>
      <c r="B400">
        <f ca="1">OFFSET($O$1,0,MOD(ROW(400:400)-2,35))</f>
        <v>2003</v>
      </c>
      <c r="C400">
        <f ca="1" t="shared" si="66"/>
        <v>0.19472628</v>
      </c>
      <c r="D400">
        <f ca="1" t="shared" si="67"/>
        <v>5</v>
      </c>
      <c r="E400">
        <f ca="1" t="shared" si="68"/>
        <v>0</v>
      </c>
      <c r="F400">
        <f ca="1" t="shared" si="69"/>
        <v>0.340556791092</v>
      </c>
      <c r="G400">
        <f ca="1" t="shared" si="70"/>
        <v>0.0393580757136</v>
      </c>
      <c r="H400">
        <f ca="1" t="shared" si="71"/>
        <v>0.391312195974</v>
      </c>
      <c r="I400">
        <f ca="1" t="shared" si="72"/>
        <v>951</v>
      </c>
      <c r="J400">
        <f ca="1" t="shared" si="73"/>
        <v>33</v>
      </c>
      <c r="K400">
        <f ca="1" t="shared" si="74"/>
        <v>13350</v>
      </c>
      <c r="L400">
        <f ca="1" t="shared" si="75"/>
        <v>2083</v>
      </c>
      <c r="M400">
        <f ca="1" t="shared" si="76"/>
        <v>0.01523733141</v>
      </c>
    </row>
    <row r="401" spans="1:13">
      <c r="A401" t="str">
        <f ca="1">OFFSET($N$2,(ROW(401:401)-2)/35,0)</f>
        <v>安徽省</v>
      </c>
      <c r="B401">
        <f ca="1">OFFSET($O$1,0,MOD(ROW(401:401)-2,35))</f>
        <v>2004</v>
      </c>
      <c r="C401">
        <f ca="1" t="shared" si="66"/>
        <v>0.20938176</v>
      </c>
      <c r="D401">
        <f ca="1" t="shared" si="67"/>
        <v>5</v>
      </c>
      <c r="E401">
        <f ca="1" t="shared" si="68"/>
        <v>0</v>
      </c>
      <c r="F401">
        <f ca="1" t="shared" si="69"/>
        <v>0.380258214336</v>
      </c>
      <c r="G401">
        <f ca="1" t="shared" si="70"/>
        <v>0.0488121228</v>
      </c>
      <c r="H401">
        <f ca="1" t="shared" si="71"/>
        <v>0.4470300576</v>
      </c>
      <c r="I401">
        <f ca="1" t="shared" si="72"/>
        <v>843</v>
      </c>
      <c r="J401">
        <f ca="1" t="shared" si="73"/>
        <v>22</v>
      </c>
      <c r="K401">
        <f ca="1" t="shared" si="74"/>
        <v>19427</v>
      </c>
      <c r="L401">
        <f ca="1" t="shared" si="75"/>
        <v>3653</v>
      </c>
      <c r="M401">
        <f ca="1" t="shared" si="76"/>
        <v>0.0154293418944</v>
      </c>
    </row>
    <row r="402" spans="1:13">
      <c r="A402" t="str">
        <f ca="1">OFFSET($N$2,(ROW(402:402)-2)/35,0)</f>
        <v>安徽省</v>
      </c>
      <c r="B402">
        <f ca="1">OFFSET($O$1,0,MOD(ROW(402:402)-2,35))</f>
        <v>2005</v>
      </c>
      <c r="C402">
        <f ca="1" t="shared" si="66"/>
        <v>0.217812</v>
      </c>
      <c r="D402">
        <f ca="1" t="shared" si="67"/>
        <v>5</v>
      </c>
      <c r="E402">
        <f ca="1" t="shared" si="68"/>
        <v>0</v>
      </c>
      <c r="F402">
        <f ca="1" t="shared" si="69"/>
        <v>0.4198834528</v>
      </c>
      <c r="G402">
        <f ca="1" t="shared" si="70"/>
        <v>0.05163995802</v>
      </c>
      <c r="H402">
        <f ca="1" t="shared" si="71"/>
        <v>0.513110619</v>
      </c>
      <c r="I402">
        <f ca="1" t="shared" si="72"/>
        <v>1014</v>
      </c>
      <c r="J402">
        <f ca="1" t="shared" si="73"/>
        <v>43</v>
      </c>
      <c r="K402">
        <f ca="1" t="shared" si="74"/>
        <v>24459</v>
      </c>
      <c r="L402">
        <f ca="1" t="shared" si="75"/>
        <v>3386</v>
      </c>
      <c r="M402">
        <f ca="1" t="shared" si="76"/>
        <v>0.01766704248</v>
      </c>
    </row>
    <row r="403" spans="1:13">
      <c r="A403" t="str">
        <f ca="1">OFFSET($N$2,(ROW(403:403)-2)/35,0)</f>
        <v>安徽省</v>
      </c>
      <c r="B403">
        <f ca="1">OFFSET($O$1,0,MOD(ROW(403:403)-2,35))</f>
        <v>2006</v>
      </c>
      <c r="C403">
        <f ca="1" t="shared" si="66"/>
        <v>0.22412208</v>
      </c>
      <c r="D403">
        <f ca="1" t="shared" si="67"/>
        <v>5</v>
      </c>
      <c r="E403">
        <f ca="1" t="shared" si="68"/>
        <v>1</v>
      </c>
      <c r="F403">
        <f ca="1" t="shared" si="69"/>
        <v>0.447519498608</v>
      </c>
      <c r="G403">
        <f ca="1" t="shared" si="70"/>
        <v>0.0493483201848</v>
      </c>
      <c r="H403">
        <f ca="1" t="shared" si="71"/>
        <v>0.45575224968</v>
      </c>
      <c r="I403">
        <f ca="1" t="shared" si="72"/>
        <v>1249</v>
      </c>
      <c r="J403">
        <f ca="1" t="shared" si="73"/>
        <v>36</v>
      </c>
      <c r="K403">
        <f ca="1" t="shared" si="74"/>
        <v>20759</v>
      </c>
      <c r="L403">
        <f ca="1" t="shared" si="75"/>
        <v>2731</v>
      </c>
      <c r="M403">
        <f ca="1" t="shared" si="76"/>
        <v>0.0160125620928</v>
      </c>
    </row>
    <row r="404" spans="1:13">
      <c r="A404" t="str">
        <f ca="1">OFFSET($N$2,(ROW(404:404)-2)/35,0)</f>
        <v>安徽省</v>
      </c>
      <c r="B404">
        <f ca="1">OFFSET($O$1,0,MOD(ROW(404:404)-2,35))</f>
        <v>2007</v>
      </c>
      <c r="C404">
        <f ca="1" t="shared" si="66"/>
        <v>0.23081436</v>
      </c>
      <c r="D404">
        <f ca="1" t="shared" si="67"/>
        <v>5</v>
      </c>
      <c r="E404">
        <f ca="1" t="shared" si="68"/>
        <v>1</v>
      </c>
      <c r="F404">
        <f ca="1" t="shared" si="69"/>
        <v>0.432222970536</v>
      </c>
      <c r="G404">
        <f ca="1" t="shared" si="70"/>
        <v>0.0521444261394</v>
      </c>
      <c r="H404">
        <f ca="1" t="shared" si="71"/>
        <v>0.552673444302</v>
      </c>
      <c r="I404">
        <f ca="1" t="shared" si="72"/>
        <v>1225</v>
      </c>
      <c r="J404">
        <f ca="1" t="shared" si="73"/>
        <v>35</v>
      </c>
      <c r="K404">
        <f ca="1" t="shared" si="74"/>
        <v>16415</v>
      </c>
      <c r="L404">
        <f ca="1" t="shared" si="75"/>
        <v>2833</v>
      </c>
      <c r="M404">
        <f ca="1" t="shared" si="76"/>
        <v>0.0189600807348</v>
      </c>
    </row>
    <row r="405" spans="1:13">
      <c r="A405" t="str">
        <f ca="1">OFFSET($N$2,(ROW(405:405)-2)/35,0)</f>
        <v>安徽省</v>
      </c>
      <c r="B405">
        <f ca="1">OFFSET($O$1,0,MOD(ROW(405:405)-2,35))</f>
        <v>2008</v>
      </c>
      <c r="C405">
        <f ca="1" t="shared" si="66"/>
        <v>0.24110352</v>
      </c>
      <c r="D405">
        <f ca="1" t="shared" si="67"/>
        <v>6</v>
      </c>
      <c r="E405">
        <f ca="1" t="shared" si="68"/>
        <v>1</v>
      </c>
      <c r="F405">
        <f ca="1" t="shared" si="69"/>
        <v>0.424326121632</v>
      </c>
      <c r="G405">
        <f ca="1" t="shared" si="70"/>
        <v>0.0506124509184</v>
      </c>
      <c r="H405">
        <f ca="1" t="shared" si="71"/>
        <v>0.595610080632</v>
      </c>
      <c r="I405">
        <f ca="1" t="shared" si="72"/>
        <v>1163</v>
      </c>
      <c r="J405">
        <f ca="1" t="shared" si="73"/>
        <v>46</v>
      </c>
      <c r="K405">
        <f ca="1" t="shared" si="74"/>
        <v>28289</v>
      </c>
      <c r="L405">
        <f ca="1" t="shared" si="75"/>
        <v>3571</v>
      </c>
      <c r="M405">
        <f ca="1" t="shared" si="76"/>
        <v>0.0178151390928</v>
      </c>
    </row>
    <row r="406" spans="1:13">
      <c r="A406" t="str">
        <f ca="1">OFFSET($N$2,(ROW(406:406)-2)/35,0)</f>
        <v>安徽省</v>
      </c>
      <c r="B406">
        <f ca="1">OFFSET($O$1,0,MOD(ROW(406:406)-2,35))</f>
        <v>2009</v>
      </c>
      <c r="C406">
        <f ca="1" t="shared" si="66"/>
        <v>0.2487156</v>
      </c>
      <c r="D406">
        <f ca="1" t="shared" si="67"/>
        <v>6</v>
      </c>
      <c r="E406">
        <f ca="1" t="shared" si="68"/>
        <v>2</v>
      </c>
      <c r="F406">
        <f ca="1" t="shared" si="69"/>
        <v>0.438775771</v>
      </c>
      <c r="G406">
        <f ca="1" t="shared" si="70"/>
        <v>0.057761710944</v>
      </c>
      <c r="H406">
        <f ca="1" t="shared" si="71"/>
        <v>0.49955771838</v>
      </c>
      <c r="I406">
        <f ca="1" t="shared" si="72"/>
        <v>1447</v>
      </c>
      <c r="J406">
        <f ca="1" t="shared" si="73"/>
        <v>36</v>
      </c>
      <c r="K406">
        <f ca="1" t="shared" si="74"/>
        <v>27169</v>
      </c>
      <c r="L406">
        <f ca="1" t="shared" si="75"/>
        <v>4585</v>
      </c>
      <c r="M406">
        <f ca="1" t="shared" si="76"/>
        <v>0.020096575788</v>
      </c>
    </row>
    <row r="407" spans="1:13">
      <c r="A407" t="str">
        <f ca="1">OFFSET($N$2,(ROW(407:407)-2)/35,0)</f>
        <v>安徽省</v>
      </c>
      <c r="B407">
        <f ca="1">OFFSET($O$1,0,MOD(ROW(407:407)-2,35))</f>
        <v>2010</v>
      </c>
      <c r="C407">
        <f ca="1" t="shared" si="66"/>
        <v>0.2675232</v>
      </c>
      <c r="D407">
        <f ca="1" t="shared" si="67"/>
        <v>6</v>
      </c>
      <c r="E407">
        <f ca="1" t="shared" si="68"/>
        <v>2</v>
      </c>
      <c r="F407">
        <f ca="1" t="shared" si="69"/>
        <v>0.49533703968</v>
      </c>
      <c r="G407">
        <f ca="1" t="shared" si="70"/>
        <v>0.055766548656</v>
      </c>
      <c r="H407">
        <f ca="1" t="shared" si="71"/>
        <v>0.60175330992</v>
      </c>
      <c r="I407">
        <f ca="1" t="shared" si="72"/>
        <v>1255</v>
      </c>
      <c r="J407">
        <f ca="1" t="shared" si="73"/>
        <v>29</v>
      </c>
      <c r="K407">
        <f ca="1" t="shared" si="74"/>
        <v>20690</v>
      </c>
      <c r="L407">
        <f ca="1" t="shared" si="75"/>
        <v>4623</v>
      </c>
      <c r="M407">
        <f ca="1" t="shared" si="76"/>
        <v>0.021051018432</v>
      </c>
    </row>
    <row r="408" spans="1:13">
      <c r="A408" t="str">
        <f ca="1">OFFSET($N$2,(ROW(408:408)-2)/35,0)</f>
        <v>安徽省</v>
      </c>
      <c r="B408">
        <f ca="1">OFFSET($O$1,0,MOD(ROW(408:408)-2,35))</f>
        <v>2011</v>
      </c>
      <c r="C408">
        <f ca="1" t="shared" si="66"/>
        <v>0.27453972</v>
      </c>
      <c r="D408">
        <f ca="1" t="shared" si="67"/>
        <v>6</v>
      </c>
      <c r="E408">
        <f ca="1" t="shared" si="68"/>
        <v>2</v>
      </c>
      <c r="F408">
        <f ca="1" t="shared" si="69"/>
        <v>0.46287396792</v>
      </c>
      <c r="G408">
        <f ca="1" t="shared" si="70"/>
        <v>0.062890186359</v>
      </c>
      <c r="H408">
        <f ca="1" t="shared" si="71"/>
        <v>0.673473387132</v>
      </c>
      <c r="I408">
        <f ca="1" t="shared" si="72"/>
        <v>1560</v>
      </c>
      <c r="J408">
        <f ca="1" t="shared" si="73"/>
        <v>43</v>
      </c>
      <c r="K408">
        <f ca="1" t="shared" si="74"/>
        <v>25807</v>
      </c>
      <c r="L408">
        <f ca="1" t="shared" si="75"/>
        <v>2905</v>
      </c>
      <c r="M408">
        <f ca="1" t="shared" si="76"/>
        <v>0.0232503766872</v>
      </c>
    </row>
    <row r="409" spans="1:13">
      <c r="A409" t="str">
        <f ca="1">OFFSET($N$2,(ROW(409:409)-2)/35,0)</f>
        <v>安徽省</v>
      </c>
      <c r="B409">
        <f ca="1">OFFSET($O$1,0,MOD(ROW(409:409)-2,35))</f>
        <v>2012</v>
      </c>
      <c r="C409">
        <f ca="1" t="shared" si="66"/>
        <v>0.29422848</v>
      </c>
      <c r="D409">
        <f ca="1" t="shared" si="67"/>
        <v>6</v>
      </c>
      <c r="E409">
        <f ca="1" t="shared" si="68"/>
        <v>2</v>
      </c>
      <c r="F409">
        <f ca="1" t="shared" si="69"/>
        <v>0.574696874752</v>
      </c>
      <c r="G409">
        <f ca="1" t="shared" si="70"/>
        <v>0.0735335817216</v>
      </c>
      <c r="H409">
        <f ca="1" t="shared" si="71"/>
        <v>0.610538807424</v>
      </c>
      <c r="I409">
        <f ca="1" t="shared" si="72"/>
        <v>1693</v>
      </c>
      <c r="J409">
        <f ca="1" t="shared" si="73"/>
        <v>30</v>
      </c>
      <c r="K409">
        <f ca="1" t="shared" si="74"/>
        <v>29104</v>
      </c>
      <c r="L409">
        <f ca="1" t="shared" si="75"/>
        <v>3160</v>
      </c>
      <c r="M409">
        <f ca="1" t="shared" si="76"/>
        <v>0.0238594077696</v>
      </c>
    </row>
    <row r="410" spans="1:13">
      <c r="A410" t="str">
        <f ca="1">OFFSET($N$2,(ROW(410:410)-2)/35,0)</f>
        <v>安徽省</v>
      </c>
      <c r="B410">
        <f ca="1">OFFSET($O$1,0,MOD(ROW(410:410)-2,35))</f>
        <v>2013</v>
      </c>
      <c r="C410">
        <f ca="1" t="shared" si="66"/>
        <v>0.2920302</v>
      </c>
      <c r="D410">
        <f ca="1" t="shared" si="67"/>
        <v>6</v>
      </c>
      <c r="E410">
        <f ca="1" t="shared" si="68"/>
        <v>3</v>
      </c>
      <c r="F410">
        <f ca="1" t="shared" si="69"/>
        <v>0.56991640398</v>
      </c>
      <c r="G410">
        <f ca="1" t="shared" si="70"/>
        <v>0.071563460661</v>
      </c>
      <c r="H410">
        <f ca="1" t="shared" si="71"/>
        <v>0.71859871314</v>
      </c>
      <c r="I410">
        <f ca="1" t="shared" si="72"/>
        <v>1243</v>
      </c>
      <c r="J410">
        <f ca="1" t="shared" si="73"/>
        <v>57</v>
      </c>
      <c r="K410">
        <f ca="1" t="shared" si="74"/>
        <v>19425</v>
      </c>
      <c r="L410">
        <f ca="1" t="shared" si="75"/>
        <v>4187</v>
      </c>
      <c r="M410">
        <f ca="1" t="shared" si="76"/>
        <v>0.02236951332</v>
      </c>
    </row>
    <row r="411" spans="1:13">
      <c r="A411" t="str">
        <f ca="1">OFFSET($N$2,(ROW(411:411)-2)/35,0)</f>
        <v>安徽省</v>
      </c>
      <c r="B411">
        <f ca="1">OFFSET($O$1,0,MOD(ROW(411:411)-2,35))</f>
        <v>2014</v>
      </c>
      <c r="C411">
        <f ca="1" t="shared" si="66"/>
        <v>0.297738</v>
      </c>
      <c r="D411">
        <f ca="1" t="shared" si="67"/>
        <v>6</v>
      </c>
      <c r="E411">
        <f ca="1" t="shared" si="68"/>
        <v>3</v>
      </c>
      <c r="F411">
        <f ca="1" t="shared" si="69"/>
        <v>0.5376751296</v>
      </c>
      <c r="G411">
        <f ca="1" t="shared" si="70"/>
        <v>0.06805248597</v>
      </c>
      <c r="H411">
        <f ca="1" t="shared" si="71"/>
        <v>0.717846318</v>
      </c>
      <c r="I411">
        <f ca="1" t="shared" si="72"/>
        <v>1485</v>
      </c>
      <c r="J411">
        <f ca="1" t="shared" si="73"/>
        <v>45</v>
      </c>
      <c r="K411">
        <f ca="1" t="shared" si="74"/>
        <v>33521</v>
      </c>
      <c r="L411">
        <f ca="1" t="shared" si="75"/>
        <v>3405</v>
      </c>
      <c r="M411">
        <f ca="1" t="shared" si="76"/>
        <v>0.02394111258</v>
      </c>
    </row>
    <row r="412" spans="1:13">
      <c r="A412" t="str">
        <f ca="1">OFFSET($N$2,(ROW(412:412)-2)/35,0)</f>
        <v>安徽省</v>
      </c>
      <c r="B412">
        <f ca="1">OFFSET($O$1,0,MOD(ROW(412:412)-2,35))</f>
        <v>2015</v>
      </c>
      <c r="C412">
        <f ca="1" t="shared" si="66"/>
        <v>0.305613</v>
      </c>
      <c r="D412">
        <f ca="1" t="shared" si="67"/>
        <v>6</v>
      </c>
      <c r="E412">
        <f ca="1" t="shared" si="68"/>
        <v>3</v>
      </c>
      <c r="F412">
        <f ca="1" t="shared" si="69"/>
        <v>0.6077725731</v>
      </c>
      <c r="G412">
        <f ca="1" t="shared" si="70"/>
        <v>0.072440977455</v>
      </c>
      <c r="H412">
        <f ca="1" t="shared" si="71"/>
        <v>0.6264455274</v>
      </c>
      <c r="I412">
        <f ca="1" t="shared" si="72"/>
        <v>1702</v>
      </c>
      <c r="J412">
        <f ca="1" t="shared" si="73"/>
        <v>83</v>
      </c>
      <c r="K412">
        <f ca="1" t="shared" si="74"/>
        <v>24784</v>
      </c>
      <c r="L412">
        <f ca="1" t="shared" si="75"/>
        <v>5360</v>
      </c>
      <c r="M412">
        <f ca="1" t="shared" si="76"/>
        <v>0.02606529618</v>
      </c>
    </row>
    <row r="413" spans="1:13">
      <c r="A413" t="str">
        <f ca="1">OFFSET($N$2,(ROW(413:413)-2)/35,0)</f>
        <v>安徽省</v>
      </c>
      <c r="B413">
        <f ca="1">OFFSET($O$1,0,MOD(ROW(413:413)-2,35))</f>
        <v>2016</v>
      </c>
      <c r="C413">
        <f ca="1" t="shared" si="66"/>
        <v>0.30757104</v>
      </c>
      <c r="D413">
        <f ca="1" t="shared" si="67"/>
        <v>6</v>
      </c>
      <c r="E413">
        <f ca="1" t="shared" si="68"/>
        <v>3</v>
      </c>
      <c r="F413">
        <f ca="1" t="shared" si="69"/>
        <v>0.60986211048</v>
      </c>
      <c r="G413">
        <f ca="1" t="shared" si="70"/>
        <v>0.0659647609488</v>
      </c>
      <c r="H413">
        <f ca="1" t="shared" si="71"/>
        <v>0.703045883232</v>
      </c>
      <c r="I413">
        <f ca="1" t="shared" si="72"/>
        <v>1807</v>
      </c>
      <c r="J413">
        <f ca="1" t="shared" si="73"/>
        <v>87</v>
      </c>
      <c r="K413">
        <f ca="1" t="shared" si="74"/>
        <v>29198</v>
      </c>
      <c r="L413">
        <f ca="1" t="shared" si="75"/>
        <v>4864</v>
      </c>
      <c r="M413">
        <f ca="1" t="shared" si="76"/>
        <v>0.0229672083312</v>
      </c>
    </row>
    <row r="414" spans="1:13">
      <c r="A414" t="str">
        <f ca="1">OFFSET($N$2,(ROW(414:414)-2)/35,0)</f>
        <v>安徽省</v>
      </c>
      <c r="B414">
        <f ca="1">OFFSET($O$1,0,MOD(ROW(414:414)-2,35))</f>
        <v>2017</v>
      </c>
      <c r="C414">
        <f ca="1" t="shared" si="66"/>
        <v>0.34100976</v>
      </c>
      <c r="D414">
        <f ca="1" t="shared" si="67"/>
        <v>6</v>
      </c>
      <c r="E414">
        <f ca="1" t="shared" si="68"/>
        <v>3</v>
      </c>
      <c r="F414">
        <f ca="1" t="shared" si="69"/>
        <v>0.654636436272</v>
      </c>
      <c r="G414">
        <f ca="1" t="shared" si="70"/>
        <v>0.076488489168</v>
      </c>
      <c r="H414">
        <f ca="1" t="shared" si="71"/>
        <v>0.739888876272</v>
      </c>
      <c r="I414">
        <f ca="1" t="shared" si="72"/>
        <v>1397</v>
      </c>
      <c r="J414">
        <f ca="1" t="shared" si="73"/>
        <v>60</v>
      </c>
      <c r="K414">
        <f ca="1" t="shared" si="74"/>
        <v>28741</v>
      </c>
      <c r="L414">
        <f ca="1" t="shared" si="75"/>
        <v>5210</v>
      </c>
      <c r="M414">
        <f ca="1" t="shared" si="76"/>
        <v>0.0274922068512</v>
      </c>
    </row>
    <row r="415" spans="1:13">
      <c r="A415" t="str">
        <f ca="1">OFFSET($N$2,(ROW(415:415)-2)/35,0)</f>
        <v>安徽省</v>
      </c>
      <c r="B415">
        <f ca="1">OFFSET($O$1,0,MOD(ROW(415:415)-2,35))</f>
        <v>2018</v>
      </c>
      <c r="C415">
        <f ca="1" t="shared" si="66"/>
        <v>0.33034008</v>
      </c>
      <c r="D415">
        <f ca="1" t="shared" si="67"/>
        <v>6</v>
      </c>
      <c r="E415">
        <f ca="1" t="shared" si="68"/>
        <v>3</v>
      </c>
      <c r="F415">
        <f ca="1" t="shared" si="69"/>
        <v>0.583909125408</v>
      </c>
      <c r="G415">
        <f ca="1" t="shared" si="70"/>
        <v>0.0662843887524</v>
      </c>
      <c r="H415">
        <f ca="1" t="shared" si="71"/>
        <v>0.711585566328</v>
      </c>
      <c r="I415">
        <f ca="1" t="shared" si="72"/>
        <v>1517</v>
      </c>
      <c r="J415">
        <f ca="1" t="shared" si="73"/>
        <v>222</v>
      </c>
      <c r="K415">
        <f ca="1" t="shared" si="74"/>
        <v>22944</v>
      </c>
      <c r="L415">
        <f ca="1" t="shared" si="75"/>
        <v>4972</v>
      </c>
      <c r="M415">
        <f ca="1" t="shared" si="76"/>
        <v>0.0269378177808</v>
      </c>
    </row>
    <row r="416" spans="1:13">
      <c r="A416" t="str">
        <f ca="1">OFFSET($N$2,(ROW(416:416)-2)/35,0)</f>
        <v>安徽省</v>
      </c>
      <c r="B416">
        <f ca="1">OFFSET($O$1,0,MOD(ROW(416:416)-2,35))</f>
        <v>2019</v>
      </c>
      <c r="C416">
        <f ca="1" t="shared" si="66"/>
        <v>0.33018804</v>
      </c>
      <c r="D416">
        <f ca="1" t="shared" si="67"/>
        <v>6</v>
      </c>
      <c r="E416">
        <f ca="1" t="shared" si="68"/>
        <v>3</v>
      </c>
      <c r="F416">
        <f ca="1" t="shared" si="69"/>
        <v>0.629569535868</v>
      </c>
      <c r="G416">
        <f ca="1" t="shared" si="70"/>
        <v>0.0707576460318</v>
      </c>
      <c r="H416">
        <f ca="1" t="shared" si="71"/>
        <v>0.761380601436</v>
      </c>
      <c r="I416">
        <f ca="1" t="shared" si="72"/>
        <v>1834</v>
      </c>
      <c r="J416">
        <f ca="1" t="shared" si="73"/>
        <v>257</v>
      </c>
      <c r="K416">
        <f ca="1" t="shared" si="74"/>
        <v>35904</v>
      </c>
      <c r="L416">
        <f ca="1" t="shared" si="75"/>
        <v>4482</v>
      </c>
      <c r="M416">
        <f ca="1" t="shared" si="76"/>
        <v>0.0262329680808</v>
      </c>
    </row>
    <row r="417" spans="1:13">
      <c r="A417" t="str">
        <f ca="1">OFFSET($N$2,(ROW(417:417)-2)/35,0)</f>
        <v>安徽省</v>
      </c>
      <c r="B417">
        <f ca="1">OFFSET($O$1,0,MOD(ROW(417:417)-2,35))</f>
        <v>2020</v>
      </c>
      <c r="C417">
        <f ca="1" t="shared" si="66"/>
        <v>0.3493392</v>
      </c>
      <c r="D417">
        <f ca="1" t="shared" si="67"/>
        <v>6</v>
      </c>
      <c r="E417">
        <f ca="1" t="shared" si="68"/>
        <v>3</v>
      </c>
      <c r="F417">
        <f ca="1" t="shared" si="69"/>
        <v>0.68550831216</v>
      </c>
      <c r="G417">
        <f ca="1" t="shared" si="70"/>
        <v>0.071254716624</v>
      </c>
      <c r="H417">
        <f ca="1" t="shared" si="71"/>
        <v>0.7508172756</v>
      </c>
      <c r="I417">
        <f ca="1" t="shared" si="72"/>
        <v>1753</v>
      </c>
      <c r="J417">
        <f ca="1" t="shared" si="73"/>
        <v>312</v>
      </c>
      <c r="K417">
        <f ca="1" t="shared" si="74"/>
        <v>27995</v>
      </c>
      <c r="L417">
        <f ca="1" t="shared" si="75"/>
        <v>6952</v>
      </c>
      <c r="M417">
        <f ca="1" t="shared" si="76"/>
        <v>0.028982178144</v>
      </c>
    </row>
    <row r="418" spans="1:13">
      <c r="A418" t="str">
        <f ca="1">OFFSET($N$2,(ROW(418:418)-2)/35,0)</f>
        <v>安徽省</v>
      </c>
      <c r="B418">
        <f ca="1">OFFSET($O$1,0,MOD(ROW(418:418)-2,35))</f>
        <v>2021</v>
      </c>
      <c r="C418">
        <f ca="1" t="shared" si="66"/>
        <v>0.35252784</v>
      </c>
      <c r="D418">
        <f ca="1" t="shared" si="67"/>
        <v>6</v>
      </c>
      <c r="E418">
        <f ca="1" t="shared" si="68"/>
        <v>3</v>
      </c>
      <c r="F418">
        <f ca="1" t="shared" si="69"/>
        <v>0.595971815376</v>
      </c>
      <c r="G418">
        <f ca="1" t="shared" si="70"/>
        <v>0.0828475676784</v>
      </c>
      <c r="H418">
        <f ca="1" t="shared" si="71"/>
        <v>0.825761212416</v>
      </c>
      <c r="I418">
        <f ca="1" t="shared" si="72"/>
        <v>2000</v>
      </c>
      <c r="J418">
        <f ca="1" t="shared" si="73"/>
        <v>301</v>
      </c>
      <c r="K418">
        <f ca="1" t="shared" si="74"/>
        <v>41853</v>
      </c>
      <c r="L418">
        <f ca="1" t="shared" si="75"/>
        <v>5282</v>
      </c>
      <c r="M418">
        <f ca="1" t="shared" si="76"/>
        <v>0.0254227969872</v>
      </c>
    </row>
    <row r="419" spans="1:13">
      <c r="A419" t="str">
        <f ca="1">OFFSET($N$2,(ROW(419:419)-2)/35,0)</f>
        <v>安徽省</v>
      </c>
      <c r="B419">
        <f ca="1">OFFSET($O$1,0,MOD(ROW(419:419)-2,35))</f>
        <v>2022</v>
      </c>
      <c r="C419">
        <f ca="1" t="shared" si="66"/>
        <v>0.36017352</v>
      </c>
      <c r="D419">
        <f ca="1" t="shared" si="67"/>
        <v>6</v>
      </c>
      <c r="E419">
        <f ca="1" t="shared" si="68"/>
        <v>3</v>
      </c>
      <c r="F419">
        <f ca="1" t="shared" si="69"/>
        <v>0.716193038736</v>
      </c>
      <c r="G419">
        <f ca="1" t="shared" si="70"/>
        <v>0.0809886177072</v>
      </c>
      <c r="H419">
        <f ca="1" t="shared" si="71"/>
        <v>0.88269525414</v>
      </c>
      <c r="I419">
        <f ca="1" t="shared" si="72"/>
        <v>2049</v>
      </c>
      <c r="J419">
        <f ca="1" t="shared" si="73"/>
        <v>300</v>
      </c>
      <c r="K419">
        <f ca="1" t="shared" si="74"/>
        <v>41788</v>
      </c>
      <c r="L419">
        <f ca="1" t="shared" si="75"/>
        <v>4980</v>
      </c>
      <c r="M419">
        <f ca="1" t="shared" si="76"/>
        <v>0.0271215805896</v>
      </c>
    </row>
    <row r="420" spans="1:13">
      <c r="A420" t="str">
        <f ca="1">OFFSET($N$2,(ROW(420:420)-2)/35,0)</f>
        <v>安徽省</v>
      </c>
      <c r="B420">
        <f ca="1">OFFSET($O$1,0,MOD(ROW(420:420)-2,35))</f>
        <v>2023</v>
      </c>
      <c r="C420">
        <f ca="1" t="shared" si="66"/>
        <v>0.38514756</v>
      </c>
      <c r="D420">
        <f ca="1" t="shared" si="67"/>
        <v>6</v>
      </c>
      <c r="E420">
        <f ca="1" t="shared" si="68"/>
        <v>3</v>
      </c>
      <c r="F420">
        <f ca="1" t="shared" si="69"/>
        <v>0.706091021748</v>
      </c>
      <c r="G420">
        <f ca="1" t="shared" si="70"/>
        <v>0.0854430604482</v>
      </c>
      <c r="H420">
        <f ca="1" t="shared" si="71"/>
        <v>0.871280810232</v>
      </c>
      <c r="I420">
        <f ca="1" t="shared" si="72"/>
        <v>1928</v>
      </c>
      <c r="J420">
        <f ca="1" t="shared" si="73"/>
        <v>379</v>
      </c>
      <c r="K420">
        <f ca="1" t="shared" si="74"/>
        <v>24149</v>
      </c>
      <c r="L420">
        <f ca="1" t="shared" si="75"/>
        <v>7446</v>
      </c>
      <c r="M420">
        <f ca="1" t="shared" si="76"/>
        <v>0.0328921518348</v>
      </c>
    </row>
    <row r="421" spans="1:13">
      <c r="A421" t="str">
        <f ca="1">OFFSET($N$2,(ROW(421:421)-2)/35,0)</f>
        <v>安徽省</v>
      </c>
      <c r="B421">
        <f ca="1">OFFSET($O$1,0,MOD(ROW(421:421)-2,35))</f>
        <v>2024</v>
      </c>
      <c r="C421">
        <f ca="1" t="shared" si="66"/>
        <v>0.4034184</v>
      </c>
      <c r="D421">
        <f ca="1" t="shared" si="67"/>
        <v>7</v>
      </c>
      <c r="E421">
        <f ca="1" t="shared" si="68"/>
        <v>3</v>
      </c>
      <c r="F421">
        <f ca="1" t="shared" si="69"/>
        <v>0.75273839256</v>
      </c>
      <c r="G421">
        <f ca="1" t="shared" si="70"/>
        <v>0.095684793204</v>
      </c>
      <c r="H421">
        <f ca="1" t="shared" si="71"/>
        <v>0.8361854886</v>
      </c>
      <c r="I421">
        <f ca="1" t="shared" si="72"/>
        <v>2405</v>
      </c>
      <c r="J421">
        <f ca="1" t="shared" si="73"/>
        <v>371</v>
      </c>
      <c r="K421">
        <f ca="1" t="shared" si="74"/>
        <v>29003</v>
      </c>
      <c r="L421">
        <f ca="1" t="shared" si="75"/>
        <v>7476</v>
      </c>
      <c r="M421">
        <f ca="1" t="shared" si="76"/>
        <v>0.029822993376</v>
      </c>
    </row>
    <row r="422" spans="1:13">
      <c r="A422" t="str">
        <f ca="1">OFFSET($N$2,(ROW(422:422)-2)/35,0)</f>
        <v>福建省</v>
      </c>
      <c r="B422">
        <f ca="1">OFFSET($O$1,0,MOD(ROW(422:422)-2,35))</f>
        <v>1990</v>
      </c>
      <c r="C422">
        <f ca="1" t="shared" si="66"/>
        <v>0.0850332</v>
      </c>
      <c r="D422">
        <f ca="1" t="shared" si="67"/>
        <v>3</v>
      </c>
      <c r="E422">
        <f ca="1" t="shared" si="68"/>
        <v>0</v>
      </c>
      <c r="F422">
        <f ca="1" t="shared" si="69"/>
        <v>0.16970642612</v>
      </c>
      <c r="G422">
        <f ca="1" t="shared" si="70"/>
        <v>0.017882907126</v>
      </c>
      <c r="H422">
        <f ca="1" t="shared" si="71"/>
        <v>0.20100147816</v>
      </c>
      <c r="I422">
        <f ca="1" t="shared" si="72"/>
        <v>353</v>
      </c>
      <c r="J422">
        <f ca="1" t="shared" si="73"/>
        <v>10</v>
      </c>
      <c r="K422">
        <f ca="1" t="shared" si="74"/>
        <v>8982</v>
      </c>
      <c r="L422">
        <f ca="1" t="shared" si="75"/>
        <v>1529</v>
      </c>
      <c r="M422">
        <f ca="1" t="shared" si="76"/>
        <v>0.006128828628</v>
      </c>
    </row>
    <row r="423" spans="1:13">
      <c r="A423" t="str">
        <f ca="1">OFFSET($N$2,(ROW(423:423)-2)/35,0)</f>
        <v>福建省</v>
      </c>
      <c r="B423">
        <f ca="1">OFFSET($O$1,0,MOD(ROW(423:423)-2,35))</f>
        <v>1991</v>
      </c>
      <c r="C423">
        <f ca="1" t="shared" si="66"/>
        <v>0.10005072</v>
      </c>
      <c r="D423">
        <f ca="1" t="shared" si="67"/>
        <v>3</v>
      </c>
      <c r="E423">
        <f ca="1" t="shared" si="68"/>
        <v>0</v>
      </c>
      <c r="F423">
        <f ca="1" t="shared" si="69"/>
        <v>0.18107512808</v>
      </c>
      <c r="G423">
        <f ca="1" t="shared" si="70"/>
        <v>0.0208940921112</v>
      </c>
      <c r="H423">
        <f ca="1" t="shared" si="71"/>
        <v>0.232773002616</v>
      </c>
      <c r="I423">
        <f ca="1" t="shared" si="72"/>
        <v>487</v>
      </c>
      <c r="J423">
        <f ca="1" t="shared" si="73"/>
        <v>12</v>
      </c>
      <c r="K423">
        <f ca="1" t="shared" si="74"/>
        <v>11109</v>
      </c>
      <c r="L423">
        <f ca="1" t="shared" si="75"/>
        <v>1392</v>
      </c>
      <c r="M423">
        <f ca="1" t="shared" si="76"/>
        <v>0.0083252204112</v>
      </c>
    </row>
    <row r="424" spans="1:13">
      <c r="A424" t="str">
        <f ca="1">OFFSET($N$2,(ROW(424:424)-2)/35,0)</f>
        <v>福建省</v>
      </c>
      <c r="B424">
        <f ca="1">OFFSET($O$1,0,MOD(ROW(424:424)-2,35))</f>
        <v>1992</v>
      </c>
      <c r="C424">
        <f ca="1" t="shared" si="66"/>
        <v>0.10371312</v>
      </c>
      <c r="D424">
        <f ca="1" t="shared" si="67"/>
        <v>3</v>
      </c>
      <c r="E424">
        <f ca="1" t="shared" si="68"/>
        <v>0</v>
      </c>
      <c r="F424">
        <f ca="1" t="shared" si="69"/>
        <v>0.20637182328</v>
      </c>
      <c r="G424">
        <f ca="1" t="shared" si="70"/>
        <v>0.0233162650728</v>
      </c>
      <c r="H424">
        <f ca="1" t="shared" si="71"/>
        <v>0.215163238752</v>
      </c>
      <c r="I424">
        <f ca="1" t="shared" si="72"/>
        <v>477</v>
      </c>
      <c r="J424">
        <f ca="1" t="shared" si="73"/>
        <v>17</v>
      </c>
      <c r="K424">
        <f ca="1" t="shared" si="74"/>
        <v>7320</v>
      </c>
      <c r="L424">
        <f ca="1" t="shared" si="75"/>
        <v>2055</v>
      </c>
      <c r="M424">
        <f ca="1" t="shared" si="76"/>
        <v>0.0084072818304</v>
      </c>
    </row>
    <row r="425" spans="1:13">
      <c r="A425" t="str">
        <f ca="1">OFFSET($N$2,(ROW(425:425)-2)/35,0)</f>
        <v>福建省</v>
      </c>
      <c r="B425">
        <f ca="1">OFFSET($O$1,0,MOD(ROW(425:425)-2,35))</f>
        <v>1993</v>
      </c>
      <c r="C425">
        <f ca="1" t="shared" si="66"/>
        <v>0.1180998</v>
      </c>
      <c r="D425">
        <f ca="1" t="shared" si="67"/>
        <v>3</v>
      </c>
      <c r="E425">
        <f ca="1" t="shared" si="68"/>
        <v>0</v>
      </c>
      <c r="F425">
        <f ca="1" t="shared" si="69"/>
        <v>0.21766974138</v>
      </c>
      <c r="G425">
        <f ca="1" t="shared" si="70"/>
        <v>0.026685830808</v>
      </c>
      <c r="H425">
        <f ca="1" t="shared" si="71"/>
        <v>0.28094170923</v>
      </c>
      <c r="I425">
        <f ca="1" t="shared" si="72"/>
        <v>565</v>
      </c>
      <c r="J425">
        <f ca="1" t="shared" si="73"/>
        <v>14</v>
      </c>
      <c r="K425">
        <f ca="1" t="shared" si="74"/>
        <v>8374</v>
      </c>
      <c r="L425">
        <f ca="1" t="shared" si="75"/>
        <v>2243</v>
      </c>
      <c r="M425">
        <f ca="1" t="shared" si="76"/>
        <v>0.00898486407</v>
      </c>
    </row>
    <row r="426" spans="1:13">
      <c r="A426" t="str">
        <f ca="1">OFFSET($N$2,(ROW(426:426)-2)/35,0)</f>
        <v>福建省</v>
      </c>
      <c r="B426">
        <f ca="1">OFFSET($O$1,0,MOD(ROW(426:426)-2,35))</f>
        <v>1994</v>
      </c>
      <c r="C426">
        <f ca="1" t="shared" si="66"/>
        <v>0.125244</v>
      </c>
      <c r="D426">
        <f ca="1" t="shared" si="67"/>
        <v>4</v>
      </c>
      <c r="E426">
        <f ca="1" t="shared" si="68"/>
        <v>0</v>
      </c>
      <c r="F426">
        <f ca="1" t="shared" si="69"/>
        <v>0.243620454</v>
      </c>
      <c r="G426">
        <f ca="1" t="shared" si="70"/>
        <v>0.0267928227</v>
      </c>
      <c r="H426">
        <f ca="1" t="shared" si="71"/>
        <v>0.262198314</v>
      </c>
      <c r="I426">
        <f ca="1" t="shared" si="72"/>
        <v>615</v>
      </c>
      <c r="J426">
        <f ca="1" t="shared" si="73"/>
        <v>22</v>
      </c>
      <c r="K426">
        <f ca="1" t="shared" si="74"/>
        <v>10448</v>
      </c>
      <c r="L426">
        <f ca="1" t="shared" si="75"/>
        <v>2145</v>
      </c>
      <c r="M426">
        <f ca="1" t="shared" si="76"/>
        <v>0.00992898648</v>
      </c>
    </row>
    <row r="427" spans="1:13">
      <c r="A427" t="str">
        <f ca="1">OFFSET($N$2,(ROW(427:427)-2)/35,0)</f>
        <v>福建省</v>
      </c>
      <c r="B427">
        <f ca="1">OFFSET($O$1,0,MOD(ROW(427:427)-2,35))</f>
        <v>1995</v>
      </c>
      <c r="C427">
        <f ca="1" t="shared" si="66"/>
        <v>0.1296792</v>
      </c>
      <c r="D427">
        <f ca="1" t="shared" si="67"/>
        <v>4</v>
      </c>
      <c r="E427">
        <f ca="1" t="shared" si="68"/>
        <v>1</v>
      </c>
      <c r="F427">
        <f ca="1" t="shared" si="69"/>
        <v>0.21783512016</v>
      </c>
      <c r="G427">
        <f ca="1" t="shared" si="70"/>
        <v>0.029859284196</v>
      </c>
      <c r="H427">
        <f ca="1" t="shared" si="71"/>
        <v>0.26654262768</v>
      </c>
      <c r="I427">
        <f ca="1" t="shared" si="72"/>
        <v>576</v>
      </c>
      <c r="J427">
        <f ca="1" t="shared" si="73"/>
        <v>15</v>
      </c>
      <c r="K427">
        <f ca="1" t="shared" si="74"/>
        <v>11988</v>
      </c>
      <c r="L427">
        <f ca="1" t="shared" si="75"/>
        <v>1307</v>
      </c>
      <c r="M427">
        <f ca="1" t="shared" si="76"/>
        <v>0.010825619616</v>
      </c>
    </row>
    <row r="428" spans="1:13">
      <c r="A428" t="str">
        <f ca="1">OFFSET($N$2,(ROW(428:428)-2)/35,0)</f>
        <v>福建省</v>
      </c>
      <c r="B428">
        <f ca="1">OFFSET($O$1,0,MOD(ROW(428:428)-2,35))</f>
        <v>1996</v>
      </c>
      <c r="C428">
        <f ca="1" t="shared" si="66"/>
        <v>0.1358784</v>
      </c>
      <c r="D428">
        <f ca="1" t="shared" si="67"/>
        <v>5</v>
      </c>
      <c r="E428">
        <f ca="1" t="shared" si="68"/>
        <v>1</v>
      </c>
      <c r="F428">
        <f ca="1" t="shared" si="69"/>
        <v>0.2421353088</v>
      </c>
      <c r="G428">
        <f ca="1" t="shared" si="70"/>
        <v>0.032254814592</v>
      </c>
      <c r="H428">
        <f ca="1" t="shared" si="71"/>
        <v>0.32793572448</v>
      </c>
      <c r="I428">
        <f ca="1" t="shared" si="72"/>
        <v>719</v>
      </c>
      <c r="J428">
        <f ca="1" t="shared" si="73"/>
        <v>18</v>
      </c>
      <c r="K428">
        <f ca="1" t="shared" si="74"/>
        <v>9287</v>
      </c>
      <c r="L428">
        <f ca="1" t="shared" si="75"/>
        <v>2686</v>
      </c>
      <c r="M428">
        <f ca="1" t="shared" si="76"/>
        <v>0.010311811776</v>
      </c>
    </row>
    <row r="429" spans="1:13">
      <c r="A429" t="str">
        <f ca="1">OFFSET($N$2,(ROW(429:429)-2)/35,0)</f>
        <v>福建省</v>
      </c>
      <c r="B429">
        <f ca="1">OFFSET($O$1,0,MOD(ROW(429:429)-2,35))</f>
        <v>1997</v>
      </c>
      <c r="C429">
        <f ca="1" t="shared" si="66"/>
        <v>0.1471554</v>
      </c>
      <c r="D429">
        <f ca="1" t="shared" si="67"/>
        <v>5</v>
      </c>
      <c r="E429">
        <f ca="1" t="shared" si="68"/>
        <v>1</v>
      </c>
      <c r="F429">
        <f ca="1" t="shared" si="69"/>
        <v>0.26893139868</v>
      </c>
      <c r="G429">
        <f ca="1" t="shared" si="70"/>
        <v>0.0314912556</v>
      </c>
      <c r="H429">
        <f ca="1" t="shared" si="71"/>
        <v>0.34137109692</v>
      </c>
      <c r="I429">
        <f ca="1" t="shared" si="72"/>
        <v>690</v>
      </c>
      <c r="J429">
        <f ca="1" t="shared" si="73"/>
        <v>20</v>
      </c>
      <c r="K429">
        <f ca="1" t="shared" si="74"/>
        <v>11834</v>
      </c>
      <c r="L429">
        <f ca="1" t="shared" si="75"/>
        <v>1620</v>
      </c>
      <c r="M429">
        <f ca="1" t="shared" si="76"/>
        <v>0.012047402376</v>
      </c>
    </row>
    <row r="430" spans="1:13">
      <c r="A430" t="str">
        <f ca="1">OFFSET($N$2,(ROW(430:430)-2)/35,0)</f>
        <v>福建省</v>
      </c>
      <c r="B430">
        <f ca="1">OFFSET($O$1,0,MOD(ROW(430:430)-2,35))</f>
        <v>1998</v>
      </c>
      <c r="C430">
        <f ca="1" t="shared" si="66"/>
        <v>0.15665832</v>
      </c>
      <c r="D430">
        <f ca="1" t="shared" si="67"/>
        <v>5</v>
      </c>
      <c r="E430">
        <f ca="1" t="shared" si="68"/>
        <v>1</v>
      </c>
      <c r="F430">
        <f ca="1" t="shared" si="69"/>
        <v>0.310460236632</v>
      </c>
      <c r="G430">
        <f ca="1" t="shared" si="70"/>
        <v>0.038843430444</v>
      </c>
      <c r="H430">
        <f ca="1" t="shared" si="71"/>
        <v>0.319794461532</v>
      </c>
      <c r="I430">
        <f ca="1" t="shared" si="72"/>
        <v>812</v>
      </c>
      <c r="J430">
        <f ca="1" t="shared" si="73"/>
        <v>17</v>
      </c>
      <c r="K430">
        <f ca="1" t="shared" si="74"/>
        <v>17391</v>
      </c>
      <c r="L430">
        <f ca="1" t="shared" si="75"/>
        <v>2972</v>
      </c>
      <c r="M430">
        <f ca="1" t="shared" si="76"/>
        <v>0.0131930923176</v>
      </c>
    </row>
    <row r="431" spans="1:13">
      <c r="A431" t="str">
        <f ca="1">OFFSET($N$2,(ROW(431:431)-2)/35,0)</f>
        <v>福建省</v>
      </c>
      <c r="B431">
        <f ca="1">OFFSET($O$1,0,MOD(ROW(431:431)-2,35))</f>
        <v>1999</v>
      </c>
      <c r="C431">
        <f ca="1" t="shared" si="66"/>
        <v>0.17449068</v>
      </c>
      <c r="D431">
        <f ca="1" t="shared" si="67"/>
        <v>5</v>
      </c>
      <c r="E431">
        <f ca="1" t="shared" si="68"/>
        <v>1</v>
      </c>
      <c r="F431">
        <f ca="1" t="shared" si="69"/>
        <v>0.321219892812</v>
      </c>
      <c r="G431">
        <f ca="1" t="shared" si="70"/>
        <v>0.0399435340122</v>
      </c>
      <c r="H431">
        <f ca="1" t="shared" si="71"/>
        <v>0.36568884261</v>
      </c>
      <c r="I431">
        <f ca="1" t="shared" si="72"/>
        <v>788</v>
      </c>
      <c r="J431">
        <f ca="1" t="shared" si="73"/>
        <v>25</v>
      </c>
      <c r="K431">
        <f ca="1" t="shared" si="74"/>
        <v>20187</v>
      </c>
      <c r="L431">
        <f ca="1" t="shared" si="75"/>
        <v>2800</v>
      </c>
      <c r="M431">
        <f ca="1" t="shared" si="76"/>
        <v>0.0126500757552</v>
      </c>
    </row>
    <row r="432" spans="1:13">
      <c r="A432" t="str">
        <f ca="1">OFFSET($N$2,(ROW(432:432)-2)/35,0)</f>
        <v>福建省</v>
      </c>
      <c r="B432">
        <f ca="1">OFFSET($O$1,0,MOD(ROW(432:432)-2,35))</f>
        <v>2000</v>
      </c>
      <c r="C432">
        <f ca="1" t="shared" si="66"/>
        <v>0.17514</v>
      </c>
      <c r="D432">
        <f ca="1" t="shared" si="67"/>
        <v>5</v>
      </c>
      <c r="E432">
        <f ca="1" t="shared" si="68"/>
        <v>1</v>
      </c>
      <c r="F432">
        <f ca="1" t="shared" si="69"/>
        <v>0.324090732</v>
      </c>
      <c r="G432">
        <f ca="1" t="shared" si="70"/>
        <v>0.0431606259</v>
      </c>
      <c r="H432">
        <f ca="1" t="shared" si="71"/>
        <v>0.434102004</v>
      </c>
      <c r="I432">
        <f ca="1" t="shared" si="72"/>
        <v>749</v>
      </c>
      <c r="J432">
        <f ca="1" t="shared" si="73"/>
        <v>28</v>
      </c>
      <c r="K432">
        <f ca="1" t="shared" si="74"/>
        <v>17016</v>
      </c>
      <c r="L432">
        <f ca="1" t="shared" si="75"/>
        <v>3333</v>
      </c>
      <c r="M432">
        <f ca="1" t="shared" si="76"/>
        <v>0.0144773226</v>
      </c>
    </row>
    <row r="433" spans="1:13">
      <c r="A433" t="str">
        <f ca="1">OFFSET($N$2,(ROW(433:433)-2)/35,0)</f>
        <v>福建省</v>
      </c>
      <c r="B433">
        <f ca="1">OFFSET($O$1,0,MOD(ROW(433:433)-2,35))</f>
        <v>2001</v>
      </c>
      <c r="C433">
        <f ca="1" t="shared" si="66"/>
        <v>0.19169388</v>
      </c>
      <c r="D433">
        <f ca="1" t="shared" si="67"/>
        <v>5</v>
      </c>
      <c r="E433">
        <f ca="1" t="shared" si="68"/>
        <v>1</v>
      </c>
      <c r="F433">
        <f ca="1" t="shared" si="69"/>
        <v>0.381336635484</v>
      </c>
      <c r="G433">
        <f ca="1" t="shared" si="70"/>
        <v>0.044918668431</v>
      </c>
      <c r="H433">
        <f ca="1" t="shared" si="71"/>
        <v>0.452963053746</v>
      </c>
      <c r="I433">
        <f ca="1" t="shared" si="72"/>
        <v>1047</v>
      </c>
      <c r="J433">
        <f ca="1" t="shared" si="73"/>
        <v>26</v>
      </c>
      <c r="K433">
        <f ca="1" t="shared" si="74"/>
        <v>13891</v>
      </c>
      <c r="L433">
        <f ca="1" t="shared" si="75"/>
        <v>3342</v>
      </c>
      <c r="M433">
        <f ca="1" t="shared" si="76"/>
        <v>0.0141845255748</v>
      </c>
    </row>
    <row r="434" spans="1:13">
      <c r="A434" t="str">
        <f ca="1">OFFSET($N$2,(ROW(434:434)-2)/35,0)</f>
        <v>福建省</v>
      </c>
      <c r="B434">
        <f ca="1">OFFSET($O$1,0,MOD(ROW(434:434)-2,35))</f>
        <v>2002</v>
      </c>
      <c r="C434">
        <f ca="1" t="shared" si="66"/>
        <v>0.20061888</v>
      </c>
      <c r="D434">
        <f ca="1" t="shared" si="67"/>
        <v>5</v>
      </c>
      <c r="E434">
        <f ca="1" t="shared" si="68"/>
        <v>1</v>
      </c>
      <c r="F434">
        <f ca="1" t="shared" si="69"/>
        <v>0.401010391936</v>
      </c>
      <c r="G434">
        <f ca="1" t="shared" si="70"/>
        <v>0.0422061999744</v>
      </c>
      <c r="H434">
        <f ca="1" t="shared" si="71"/>
        <v>0.451522882272</v>
      </c>
      <c r="I434">
        <f ca="1" t="shared" si="72"/>
        <v>1195</v>
      </c>
      <c r="J434">
        <f ca="1" t="shared" si="73"/>
        <v>39</v>
      </c>
      <c r="K434">
        <f ca="1" t="shared" si="74"/>
        <v>13163</v>
      </c>
      <c r="L434">
        <f ca="1" t="shared" si="75"/>
        <v>3052</v>
      </c>
      <c r="M434">
        <f ca="1" t="shared" si="76"/>
        <v>0.01573425216</v>
      </c>
    </row>
    <row r="435" spans="1:13">
      <c r="A435" t="str">
        <f ca="1">OFFSET($N$2,(ROW(435:435)-2)/35,0)</f>
        <v>福建省</v>
      </c>
      <c r="B435">
        <f ca="1">OFFSET($O$1,0,MOD(ROW(435:435)-2,35))</f>
        <v>2003</v>
      </c>
      <c r="C435">
        <f ca="1" t="shared" si="66"/>
        <v>0.20299524</v>
      </c>
      <c r="D435">
        <f ca="1" t="shared" si="67"/>
        <v>5</v>
      </c>
      <c r="E435">
        <f ca="1" t="shared" si="68"/>
        <v>1</v>
      </c>
      <c r="F435">
        <f ca="1" t="shared" si="69"/>
        <v>0.341248531456</v>
      </c>
      <c r="G435">
        <f ca="1" t="shared" si="70"/>
        <v>0.0465254940318</v>
      </c>
      <c r="H435">
        <f ca="1" t="shared" si="71"/>
        <v>0.457886213106</v>
      </c>
      <c r="I435">
        <f ca="1" t="shared" si="72"/>
        <v>1081</v>
      </c>
      <c r="J435">
        <f ca="1" t="shared" si="73"/>
        <v>36</v>
      </c>
      <c r="K435">
        <f ca="1" t="shared" si="74"/>
        <v>14431</v>
      </c>
      <c r="L435">
        <f ca="1" t="shared" si="75"/>
        <v>3881</v>
      </c>
      <c r="M435">
        <f ca="1" t="shared" si="76"/>
        <v>0.0151712842512</v>
      </c>
    </row>
    <row r="436" spans="1:13">
      <c r="A436" t="str">
        <f ca="1">OFFSET($N$2,(ROW(436:436)-2)/35,0)</f>
        <v>福建省</v>
      </c>
      <c r="B436">
        <f ca="1">OFFSET($O$1,0,MOD(ROW(436:436)-2,35))</f>
        <v>2004</v>
      </c>
      <c r="C436">
        <f ca="1" t="shared" si="66"/>
        <v>0.22077216</v>
      </c>
      <c r="D436">
        <f ca="1" t="shared" si="67"/>
        <v>5</v>
      </c>
      <c r="E436">
        <f ca="1" t="shared" si="68"/>
        <v>1</v>
      </c>
      <c r="F436">
        <f ca="1" t="shared" si="69"/>
        <v>0.368181731232</v>
      </c>
      <c r="G436">
        <f ca="1" t="shared" si="70"/>
        <v>0.0509685647184</v>
      </c>
      <c r="H436">
        <f ca="1" t="shared" si="71"/>
        <v>0.442294945344</v>
      </c>
      <c r="I436">
        <f ca="1" t="shared" si="72"/>
        <v>1252</v>
      </c>
      <c r="J436">
        <f ca="1" t="shared" si="73"/>
        <v>31</v>
      </c>
      <c r="K436">
        <f ca="1" t="shared" si="74"/>
        <v>13731</v>
      </c>
      <c r="L436">
        <f ca="1" t="shared" si="75"/>
        <v>2885</v>
      </c>
      <c r="M436">
        <f ca="1" t="shared" si="76"/>
        <v>0.0174927244032</v>
      </c>
    </row>
    <row r="437" spans="1:13">
      <c r="A437" t="str">
        <f ca="1">OFFSET($N$2,(ROW(437:437)-2)/35,0)</f>
        <v>福建省</v>
      </c>
      <c r="B437">
        <f ca="1">OFFSET($O$1,0,MOD(ROW(437:437)-2,35))</f>
        <v>2005</v>
      </c>
      <c r="C437">
        <f ca="1" t="shared" si="66"/>
        <v>0.21441</v>
      </c>
      <c r="D437">
        <f ca="1" t="shared" si="67"/>
        <v>5</v>
      </c>
      <c r="E437">
        <f ca="1" t="shared" si="68"/>
        <v>1</v>
      </c>
      <c r="F437">
        <f ca="1" t="shared" si="69"/>
        <v>0.359050986</v>
      </c>
      <c r="G437">
        <f ca="1" t="shared" si="70"/>
        <v>0.0487611222</v>
      </c>
      <c r="H437">
        <f ca="1" t="shared" si="71"/>
        <v>0.432979554</v>
      </c>
      <c r="I437">
        <f ca="1" t="shared" si="72"/>
        <v>991</v>
      </c>
      <c r="J437">
        <f ca="1" t="shared" si="73"/>
        <v>40</v>
      </c>
      <c r="K437">
        <f ca="1" t="shared" si="74"/>
        <v>24948</v>
      </c>
      <c r="L437">
        <f ca="1" t="shared" si="75"/>
        <v>2908</v>
      </c>
      <c r="M437">
        <f ca="1" t="shared" si="76"/>
        <v>0.0182536422</v>
      </c>
    </row>
    <row r="438" spans="1:13">
      <c r="A438" t="str">
        <f ca="1">OFFSET($N$2,(ROW(438:438)-2)/35,0)</f>
        <v>福建省</v>
      </c>
      <c r="B438">
        <f ca="1">OFFSET($O$1,0,MOD(ROW(438:438)-2,35))</f>
        <v>2006</v>
      </c>
      <c r="C438">
        <f ca="1" t="shared" si="66"/>
        <v>0.23473632</v>
      </c>
      <c r="D438">
        <f ca="1" t="shared" si="67"/>
        <v>5</v>
      </c>
      <c r="E438">
        <f ca="1" t="shared" si="68"/>
        <v>1</v>
      </c>
      <c r="F438">
        <f ca="1" t="shared" si="69"/>
        <v>0.466295875136</v>
      </c>
      <c r="G438">
        <f ca="1" t="shared" si="70"/>
        <v>0.052410751848</v>
      </c>
      <c r="H438">
        <f ca="1" t="shared" si="71"/>
        <v>0.492875851104</v>
      </c>
      <c r="I438">
        <f ca="1" t="shared" si="72"/>
        <v>1258</v>
      </c>
      <c r="J438">
        <f ca="1" t="shared" si="73"/>
        <v>37</v>
      </c>
      <c r="K438">
        <f ca="1" t="shared" si="74"/>
        <v>15839</v>
      </c>
      <c r="L438">
        <f ca="1" t="shared" si="75"/>
        <v>2876</v>
      </c>
      <c r="M438">
        <f ca="1" t="shared" si="76"/>
        <v>0.0184978926912</v>
      </c>
    </row>
    <row r="439" spans="1:13">
      <c r="A439" t="str">
        <f ca="1">OFFSET($N$2,(ROW(439:439)-2)/35,0)</f>
        <v>福建省</v>
      </c>
      <c r="B439">
        <f ca="1">OFFSET($O$1,0,MOD(ROW(439:439)-2,35))</f>
        <v>2007</v>
      </c>
      <c r="C439">
        <f ca="1" t="shared" si="66"/>
        <v>0.23242464</v>
      </c>
      <c r="D439">
        <f ca="1" t="shared" si="67"/>
        <v>5</v>
      </c>
      <c r="E439">
        <f ca="1" t="shared" si="68"/>
        <v>1</v>
      </c>
      <c r="F439">
        <f ca="1" t="shared" si="69"/>
        <v>0.438771235392</v>
      </c>
      <c r="G439">
        <f ca="1" t="shared" si="70"/>
        <v>0.0476970224976</v>
      </c>
      <c r="H439">
        <f ca="1" t="shared" si="71"/>
        <v>0.554600054736</v>
      </c>
      <c r="I439">
        <f ca="1" t="shared" si="72"/>
        <v>1096</v>
      </c>
      <c r="J439">
        <f ca="1" t="shared" si="73"/>
        <v>42</v>
      </c>
      <c r="K439">
        <f ca="1" t="shared" si="74"/>
        <v>16885</v>
      </c>
      <c r="L439">
        <f ca="1" t="shared" si="75"/>
        <v>2576</v>
      </c>
      <c r="M439">
        <f ca="1" t="shared" si="76"/>
        <v>0.0187191484704</v>
      </c>
    </row>
    <row r="440" spans="1:13">
      <c r="A440" t="str">
        <f ca="1">OFFSET($N$2,(ROW(440:440)-2)/35,0)</f>
        <v>福建省</v>
      </c>
      <c r="B440">
        <f ca="1">OFFSET($O$1,0,MOD(ROW(440:440)-2,35))</f>
        <v>2008</v>
      </c>
      <c r="C440">
        <f ca="1" t="shared" si="66"/>
        <v>0.24418464</v>
      </c>
      <c r="D440">
        <f ca="1" t="shared" si="67"/>
        <v>5</v>
      </c>
      <c r="E440">
        <f ca="1" t="shared" si="68"/>
        <v>1</v>
      </c>
      <c r="F440">
        <f ca="1" t="shared" si="69"/>
        <v>0.414251102272</v>
      </c>
      <c r="G440">
        <f ca="1" t="shared" si="70"/>
        <v>0.0608776725984</v>
      </c>
      <c r="H440">
        <f ca="1" t="shared" si="71"/>
        <v>0.525070231392</v>
      </c>
      <c r="I440">
        <f ca="1" t="shared" si="72"/>
        <v>1406</v>
      </c>
      <c r="J440">
        <f ca="1" t="shared" si="73"/>
        <v>26</v>
      </c>
      <c r="K440">
        <f ca="1" t="shared" si="74"/>
        <v>24693</v>
      </c>
      <c r="L440">
        <f ca="1" t="shared" si="75"/>
        <v>4099</v>
      </c>
      <c r="M440">
        <f ca="1" t="shared" si="76"/>
        <v>0.0205233701568</v>
      </c>
    </row>
    <row r="441" spans="1:13">
      <c r="A441" t="str">
        <f ca="1">OFFSET($N$2,(ROW(441:441)-2)/35,0)</f>
        <v>福建省</v>
      </c>
      <c r="B441">
        <f ca="1">OFFSET($O$1,0,MOD(ROW(441:441)-2,35))</f>
        <v>2009</v>
      </c>
      <c r="C441">
        <f ca="1" t="shared" si="66"/>
        <v>0.25205292</v>
      </c>
      <c r="D441">
        <f ca="1" t="shared" si="67"/>
        <v>5</v>
      </c>
      <c r="E441">
        <f ca="1" t="shared" si="68"/>
        <v>1</v>
      </c>
      <c r="F441">
        <f ca="1" t="shared" si="69"/>
        <v>0.484353292836</v>
      </c>
      <c r="G441">
        <f ca="1" t="shared" si="70"/>
        <v>0.059755446009</v>
      </c>
      <c r="H441">
        <f ca="1" t="shared" si="71"/>
        <v>0.515372605524</v>
      </c>
      <c r="I441">
        <f ca="1" t="shared" si="72"/>
        <v>1444</v>
      </c>
      <c r="J441">
        <f ca="1" t="shared" si="73"/>
        <v>37</v>
      </c>
      <c r="K441">
        <f ca="1" t="shared" si="74"/>
        <v>18691</v>
      </c>
      <c r="L441">
        <f ca="1" t="shared" si="75"/>
        <v>3707</v>
      </c>
      <c r="M441">
        <f ca="1" t="shared" si="76"/>
        <v>0.0186029457984</v>
      </c>
    </row>
    <row r="442" spans="1:13">
      <c r="A442" t="str">
        <f ca="1">OFFSET($N$2,(ROW(442:442)-2)/35,0)</f>
        <v>福建省</v>
      </c>
      <c r="B442">
        <f ca="1">OFFSET($O$1,0,MOD(ROW(442:442)-2,35))</f>
        <v>2010</v>
      </c>
      <c r="C442">
        <f ca="1" t="shared" si="66"/>
        <v>0.2670444</v>
      </c>
      <c r="D442">
        <f ca="1" t="shared" si="67"/>
        <v>6</v>
      </c>
      <c r="E442">
        <f ca="1" t="shared" si="68"/>
        <v>1</v>
      </c>
      <c r="F442">
        <f ca="1" t="shared" si="69"/>
        <v>0.49034692728</v>
      </c>
      <c r="G442">
        <f ca="1" t="shared" si="70"/>
        <v>0.060257233638</v>
      </c>
      <c r="H442">
        <f ca="1" t="shared" si="71"/>
        <v>0.54786829104</v>
      </c>
      <c r="I442">
        <f ca="1" t="shared" si="72"/>
        <v>1480</v>
      </c>
      <c r="J442">
        <f ca="1" t="shared" si="73"/>
        <v>46</v>
      </c>
      <c r="K442">
        <f ca="1" t="shared" si="74"/>
        <v>22720</v>
      </c>
      <c r="L442">
        <f ca="1" t="shared" si="75"/>
        <v>4498</v>
      </c>
      <c r="M442">
        <f ca="1" t="shared" si="76"/>
        <v>0.02042698914</v>
      </c>
    </row>
    <row r="443" spans="1:13">
      <c r="A443" t="str">
        <f ca="1">OFFSET($N$2,(ROW(443:443)-2)/35,0)</f>
        <v>福建省</v>
      </c>
      <c r="B443">
        <f ca="1">OFFSET($O$1,0,MOD(ROW(443:443)-2,35))</f>
        <v>2011</v>
      </c>
      <c r="C443">
        <f ca="1" t="shared" si="66"/>
        <v>0.282534</v>
      </c>
      <c r="D443">
        <f ca="1" t="shared" si="67"/>
        <v>6</v>
      </c>
      <c r="E443">
        <f ca="1" t="shared" si="68"/>
        <v>1</v>
      </c>
      <c r="F443">
        <f ca="1" t="shared" si="69"/>
        <v>0.5072803792</v>
      </c>
      <c r="G443">
        <f ca="1" t="shared" si="70"/>
        <v>0.05903689197</v>
      </c>
      <c r="H443">
        <f ca="1" t="shared" si="71"/>
        <v>0.6412674198</v>
      </c>
      <c r="I443">
        <f ca="1" t="shared" si="72"/>
        <v>1438</v>
      </c>
      <c r="J443">
        <f ca="1" t="shared" si="73"/>
        <v>50</v>
      </c>
      <c r="K443">
        <f ca="1" t="shared" si="74"/>
        <v>22219</v>
      </c>
      <c r="L443">
        <f ca="1" t="shared" si="75"/>
        <v>3868</v>
      </c>
      <c r="M443">
        <f ca="1" t="shared" si="76"/>
        <v>0.0210265839</v>
      </c>
    </row>
    <row r="444" spans="1:13">
      <c r="A444" t="str">
        <f ca="1">OFFSET($N$2,(ROW(444:444)-2)/35,0)</f>
        <v>福建省</v>
      </c>
      <c r="B444">
        <f ca="1">OFFSET($O$1,0,MOD(ROW(444:444)-2,35))</f>
        <v>2012</v>
      </c>
      <c r="C444">
        <f ca="1" t="shared" si="66"/>
        <v>0.29425536</v>
      </c>
      <c r="D444">
        <f ca="1" t="shared" si="67"/>
        <v>6</v>
      </c>
      <c r="E444">
        <f ca="1" t="shared" si="68"/>
        <v>1</v>
      </c>
      <c r="F444">
        <f ca="1" t="shared" si="69"/>
        <v>0.49155357888</v>
      </c>
      <c r="G444">
        <f ca="1" t="shared" si="70"/>
        <v>0.0619157415744</v>
      </c>
      <c r="H444">
        <f ca="1" t="shared" si="71"/>
        <v>0.6999599376</v>
      </c>
      <c r="I444">
        <f ca="1" t="shared" si="72"/>
        <v>1372</v>
      </c>
      <c r="J444">
        <f ca="1" t="shared" si="73"/>
        <v>52</v>
      </c>
      <c r="K444">
        <f ca="1" t="shared" si="74"/>
        <v>24421</v>
      </c>
      <c r="L444">
        <f ca="1" t="shared" si="75"/>
        <v>3560</v>
      </c>
      <c r="M444">
        <f ca="1" t="shared" si="76"/>
        <v>0.0246153015936</v>
      </c>
    </row>
    <row r="445" spans="1:13">
      <c r="A445" t="str">
        <f ca="1">OFFSET($N$2,(ROW(445:445)-2)/35,0)</f>
        <v>福建省</v>
      </c>
      <c r="B445">
        <f ca="1">OFFSET($O$1,0,MOD(ROW(445:445)-2,35))</f>
        <v>2013</v>
      </c>
      <c r="C445">
        <f ca="1" t="shared" si="66"/>
        <v>0.28992348</v>
      </c>
      <c r="D445">
        <f ca="1" t="shared" si="67"/>
        <v>6</v>
      </c>
      <c r="E445">
        <f ca="1" t="shared" si="68"/>
        <v>1</v>
      </c>
      <c r="F445">
        <f ca="1" t="shared" si="69"/>
        <v>0.544505287788</v>
      </c>
      <c r="G445">
        <f ca="1" t="shared" si="70"/>
        <v>0.0597503299932</v>
      </c>
      <c r="H445">
        <f ca="1" t="shared" si="71"/>
        <v>0.6697232388</v>
      </c>
      <c r="I445">
        <f ca="1" t="shared" si="72"/>
        <v>1344</v>
      </c>
      <c r="J445">
        <f ca="1" t="shared" si="73"/>
        <v>44</v>
      </c>
      <c r="K445">
        <f ca="1" t="shared" si="74"/>
        <v>26518</v>
      </c>
      <c r="L445">
        <f ca="1" t="shared" si="75"/>
        <v>3893</v>
      </c>
      <c r="M445">
        <f ca="1" t="shared" si="76"/>
        <v>0.0219675020796</v>
      </c>
    </row>
    <row r="446" spans="1:13">
      <c r="A446" t="str">
        <f ca="1">OFFSET($N$2,(ROW(446:446)-2)/35,0)</f>
        <v>福建省</v>
      </c>
      <c r="B446">
        <f ca="1">OFFSET($O$1,0,MOD(ROW(446:446)-2,35))</f>
        <v>2014</v>
      </c>
      <c r="C446">
        <f ca="1" t="shared" si="66"/>
        <v>0.30613464</v>
      </c>
      <c r="D446">
        <f ca="1" t="shared" si="67"/>
        <v>7</v>
      </c>
      <c r="E446">
        <f ca="1" t="shared" si="68"/>
        <v>1</v>
      </c>
      <c r="F446">
        <f ca="1" t="shared" si="69"/>
        <v>0.555767029944</v>
      </c>
      <c r="G446">
        <f ca="1" t="shared" si="70"/>
        <v>0.0722064468636</v>
      </c>
      <c r="H446">
        <f ca="1" t="shared" si="71"/>
        <v>0.722952259092</v>
      </c>
      <c r="I446">
        <f ca="1" t="shared" si="72"/>
        <v>1656</v>
      </c>
      <c r="J446">
        <f ca="1" t="shared" si="73"/>
        <v>42</v>
      </c>
      <c r="K446">
        <f ca="1" t="shared" si="74"/>
        <v>23517</v>
      </c>
      <c r="L446">
        <f ca="1" t="shared" si="75"/>
        <v>6112</v>
      </c>
      <c r="M446">
        <f ca="1" t="shared" si="76"/>
        <v>0.023283726048</v>
      </c>
    </row>
    <row r="447" spans="1:13">
      <c r="A447" t="str">
        <f ca="1">OFFSET($N$2,(ROW(447:447)-2)/35,0)</f>
        <v>福建省</v>
      </c>
      <c r="B447">
        <f ca="1">OFFSET($O$1,0,MOD(ROW(447:447)-2,35))</f>
        <v>2015</v>
      </c>
      <c r="C447">
        <f ca="1" t="shared" si="66"/>
        <v>0.3047604</v>
      </c>
      <c r="D447">
        <f ca="1" t="shared" si="67"/>
        <v>7</v>
      </c>
      <c r="E447">
        <f ca="1" t="shared" si="68"/>
        <v>1</v>
      </c>
      <c r="F447">
        <f ca="1" t="shared" si="69"/>
        <v>0.55006204596</v>
      </c>
      <c r="G447">
        <f ca="1" t="shared" si="70"/>
        <v>0.064709775732</v>
      </c>
      <c r="H447">
        <f ca="1" t="shared" si="71"/>
        <v>0.73666683888</v>
      </c>
      <c r="I447">
        <f ca="1" t="shared" si="72"/>
        <v>1279</v>
      </c>
      <c r="J447">
        <f ca="1" t="shared" si="73"/>
        <v>87</v>
      </c>
      <c r="K447">
        <f ca="1" t="shared" si="74"/>
        <v>23623</v>
      </c>
      <c r="L447">
        <f ca="1" t="shared" si="75"/>
        <v>3050</v>
      </c>
      <c r="M447">
        <f ca="1" t="shared" si="76"/>
        <v>0.0254366091</v>
      </c>
    </row>
    <row r="448" spans="1:13">
      <c r="A448" t="str">
        <f ca="1">OFFSET($N$2,(ROW(448:448)-2)/35,0)</f>
        <v>福建省</v>
      </c>
      <c r="B448">
        <f ca="1">OFFSET($O$1,0,MOD(ROW(448:448)-2,35))</f>
        <v>2016</v>
      </c>
      <c r="C448">
        <f ca="1" t="shared" si="66"/>
        <v>0.3249288</v>
      </c>
      <c r="D448">
        <f ca="1" t="shared" si="67"/>
        <v>7</v>
      </c>
      <c r="E448">
        <f ca="1" t="shared" si="68"/>
        <v>1</v>
      </c>
      <c r="F448">
        <f ca="1" t="shared" si="69"/>
        <v>0.5986271592</v>
      </c>
      <c r="G448">
        <f ca="1" t="shared" si="70"/>
        <v>0.075937485204</v>
      </c>
      <c r="H448">
        <f ca="1" t="shared" si="71"/>
        <v>0.79027558092</v>
      </c>
      <c r="I448">
        <f ca="1" t="shared" si="72"/>
        <v>1434</v>
      </c>
      <c r="J448">
        <f ca="1" t="shared" si="73"/>
        <v>55</v>
      </c>
      <c r="K448">
        <f ca="1" t="shared" si="74"/>
        <v>20016</v>
      </c>
      <c r="L448">
        <f ca="1" t="shared" si="75"/>
        <v>4563</v>
      </c>
      <c r="M448">
        <f ca="1" t="shared" si="76"/>
        <v>0.025737610248</v>
      </c>
    </row>
    <row r="449" spans="1:13">
      <c r="A449" t="str">
        <f ca="1">OFFSET($N$2,(ROW(449:449)-2)/35,0)</f>
        <v>福建省</v>
      </c>
      <c r="B449">
        <f ca="1">OFFSET($O$1,0,MOD(ROW(449:449)-2,35))</f>
        <v>2017</v>
      </c>
      <c r="C449">
        <f ca="1" t="shared" si="66"/>
        <v>0.31465392</v>
      </c>
      <c r="D449">
        <f ca="1" t="shared" si="67"/>
        <v>7</v>
      </c>
      <c r="E449">
        <f ca="1" t="shared" si="68"/>
        <v>1</v>
      </c>
      <c r="F449">
        <f ca="1" t="shared" si="69"/>
        <v>0.599247902176</v>
      </c>
      <c r="G449">
        <f ca="1" t="shared" si="70"/>
        <v>0.0651585337536</v>
      </c>
      <c r="H449">
        <f ca="1" t="shared" si="71"/>
        <v>0.646975657608</v>
      </c>
      <c r="I449">
        <f ca="1" t="shared" si="72"/>
        <v>1825</v>
      </c>
      <c r="J449">
        <f ca="1" t="shared" si="73"/>
        <v>50</v>
      </c>
      <c r="K449">
        <f ca="1" t="shared" si="74"/>
        <v>26863</v>
      </c>
      <c r="L449">
        <f ca="1" t="shared" si="75"/>
        <v>5054</v>
      </c>
      <c r="M449">
        <f ca="1" t="shared" si="76"/>
        <v>0.0233154059664</v>
      </c>
    </row>
    <row r="450" spans="1:13">
      <c r="A450" t="str">
        <f ca="1">OFFSET($N$2,(ROW(450:450)-2)/35,0)</f>
        <v>福建省</v>
      </c>
      <c r="B450">
        <f ca="1">OFFSET($O$1,0,MOD(ROW(450:450)-2,35))</f>
        <v>2018</v>
      </c>
      <c r="C450">
        <f ca="1" t="shared" si="66"/>
        <v>0.34974744</v>
      </c>
      <c r="D450">
        <f ca="1" t="shared" si="67"/>
        <v>7</v>
      </c>
      <c r="E450">
        <f ca="1" t="shared" si="68"/>
        <v>1</v>
      </c>
      <c r="F450">
        <f ca="1" t="shared" si="69"/>
        <v>0.643558606096</v>
      </c>
      <c r="G450">
        <f ca="1" t="shared" si="70"/>
        <v>0.0712715333232</v>
      </c>
      <c r="H450">
        <f ca="1" t="shared" si="71"/>
        <v>0.84971140548</v>
      </c>
      <c r="I450">
        <f ca="1" t="shared" si="72"/>
        <v>1637</v>
      </c>
      <c r="J450">
        <f ca="1" t="shared" si="73"/>
        <v>178</v>
      </c>
      <c r="K450">
        <f ca="1" t="shared" si="74"/>
        <v>21470</v>
      </c>
      <c r="L450">
        <f ca="1" t="shared" si="75"/>
        <v>4298</v>
      </c>
      <c r="M450">
        <f ca="1" t="shared" si="76"/>
        <v>0.0265868011104</v>
      </c>
    </row>
    <row r="451" spans="1:13">
      <c r="A451" t="str">
        <f ca="1">OFFSET($N$2,(ROW(451:451)-2)/35,0)</f>
        <v>福建省</v>
      </c>
      <c r="B451">
        <f ca="1">OFFSET($O$1,0,MOD(ROW(451:451)-2,35))</f>
        <v>2019</v>
      </c>
      <c r="C451">
        <f ca="1" t="shared" ref="C451:C514" si="77">IF(OR(A451="北京市",A451="上海市",A451="广东省"),(B451-1980)*RANDBETWEEN(15000,16000)/500000,IF(OR(A451="西藏自治区",A451="新疆维吾尔自治区",A451="青海省",A451="广西壮族自治区",A451="内蒙古自治区",A451="宁夏回族自治区",A451="贵州省",A451="甘肃省",A451="陕西省",A451="云南省"),(B451-1980)*RANDBETWEEN(7000,8000)/500000,IF(OR(A451="浙江省",A451="江苏省",A451="山东省",A451="辽宁省"),(B451-1980)*RANDBETWEEN(13000,14000)/500000,(B451-1980)*RANDBETWEEN(10000,11000)/500000)))*0.42</f>
        <v>0.34142472</v>
      </c>
      <c r="D451">
        <f ca="1" t="shared" ref="D451:D514" si="78">IF($B451=1990,ROUND($C451*RANDBETWEEN(10000,20000)/500,0),ROUND(D450+RANDBETWEEN(0,5)/10,0))</f>
        <v>7</v>
      </c>
      <c r="E451">
        <f ca="1" t="shared" ref="E451:E514" si="79">IF($B451=1990,ROUND($C451*RANDBETWEEN(10000,20000)/5000,0),ROUND(E450+RANDBETWEEN(0,20)/40,0))</f>
        <v>1</v>
      </c>
      <c r="F451">
        <f ca="1" t="shared" ref="F451:F514" si="80">$C451*RANDBETWEEN(50000,60000)/30000</f>
        <v>0.575175464136</v>
      </c>
      <c r="G451">
        <f ca="1" t="shared" ref="G451:G514" si="81">$C451*RANDBETWEEN(40000,50000)/200000</f>
        <v>0.0849686629428</v>
      </c>
      <c r="H451">
        <f ca="1" t="shared" ref="H451:H514" si="82">$C451*RANDBETWEEN(40000,50000)/20000</f>
        <v>0.817609776984</v>
      </c>
      <c r="I451">
        <f ca="1" t="shared" ref="I451:I514" si="83">ROUND($C451*RANDBETWEEN(20000,30000)/5,0)</f>
        <v>1921</v>
      </c>
      <c r="J451">
        <f ca="1" t="shared" ref="J451:J514" si="84">IF(B451&lt;2015,ROUND($C451*RANDBETWEEN(10000,20000)/100,0),IF(B451&lt;2018,ROUND($C451*RANDBETWEEN(10000,20000)/70,0),ROUND($C451*RANDBETWEEN(10000,20000)/20,0)))</f>
        <v>247</v>
      </c>
      <c r="K451">
        <f ca="1" t="shared" ref="K451:K514" si="85">ROUND($C451*RANDBETWEEN(10000,20000)*6,0)</f>
        <v>32844</v>
      </c>
      <c r="L451">
        <f ca="1" t="shared" ref="L451:L514" si="86">ROUND($C451*RANDBETWEEN(10000,20000)*1,0)</f>
        <v>4782</v>
      </c>
      <c r="M451">
        <f ca="1" t="shared" ref="M451:M514" si="87">$C451*RANDBETWEEN(50000,60000)/700000</f>
        <v>0.0265891816944</v>
      </c>
    </row>
    <row r="452" spans="1:13">
      <c r="A452" t="str">
        <f ca="1">OFFSET($N$2,(ROW(452:452)-2)/35,0)</f>
        <v>福建省</v>
      </c>
      <c r="B452">
        <f ca="1">OFFSET($O$1,0,MOD(ROW(452:452)-2,35))</f>
        <v>2020</v>
      </c>
      <c r="C452">
        <f ca="1" t="shared" si="77"/>
        <v>0.35364</v>
      </c>
      <c r="D452">
        <f ca="1" t="shared" si="78"/>
        <v>7</v>
      </c>
      <c r="E452">
        <f ca="1" t="shared" si="79"/>
        <v>1</v>
      </c>
      <c r="F452">
        <f ca="1" t="shared" si="80"/>
        <v>0.6943132</v>
      </c>
      <c r="G452">
        <f ca="1" t="shared" si="81"/>
        <v>0.0708358602</v>
      </c>
      <c r="H452">
        <f ca="1" t="shared" si="82"/>
        <v>0.773746638</v>
      </c>
      <c r="I452">
        <f ca="1" t="shared" si="83"/>
        <v>1812</v>
      </c>
      <c r="J452">
        <f ca="1" t="shared" si="84"/>
        <v>222</v>
      </c>
      <c r="K452">
        <f ca="1" t="shared" si="85"/>
        <v>36988</v>
      </c>
      <c r="L452">
        <f ca="1" t="shared" si="86"/>
        <v>5699</v>
      </c>
      <c r="M452">
        <f ca="1" t="shared" si="87"/>
        <v>0.02657352</v>
      </c>
    </row>
    <row r="453" spans="1:13">
      <c r="A453" t="str">
        <f ca="1">OFFSET($N$2,(ROW(453:453)-2)/35,0)</f>
        <v>福建省</v>
      </c>
      <c r="B453">
        <f ca="1">OFFSET($O$1,0,MOD(ROW(453:453)-2,35))</f>
        <v>2021</v>
      </c>
      <c r="C453">
        <f ca="1" t="shared" si="77"/>
        <v>0.37305408</v>
      </c>
      <c r="D453">
        <f ca="1" t="shared" si="78"/>
        <v>7</v>
      </c>
      <c r="E453">
        <f ca="1" t="shared" si="79"/>
        <v>2</v>
      </c>
      <c r="F453">
        <f ca="1" t="shared" si="80"/>
        <v>0.683522120512</v>
      </c>
      <c r="G453">
        <f ca="1" t="shared" si="81"/>
        <v>0.0832917844416</v>
      </c>
      <c r="H453">
        <f ca="1" t="shared" si="82"/>
        <v>0.801730523328</v>
      </c>
      <c r="I453">
        <f ca="1" t="shared" si="83"/>
        <v>2115</v>
      </c>
      <c r="J453">
        <f ca="1" t="shared" si="84"/>
        <v>346</v>
      </c>
      <c r="K453">
        <f ca="1" t="shared" si="85"/>
        <v>42427</v>
      </c>
      <c r="L453">
        <f ca="1" t="shared" si="86"/>
        <v>6391</v>
      </c>
      <c r="M453">
        <f ca="1" t="shared" si="87"/>
        <v>0.029282080608</v>
      </c>
    </row>
    <row r="454" spans="1:13">
      <c r="A454" t="str">
        <f ca="1">OFFSET($N$2,(ROW(454:454)-2)/35,0)</f>
        <v>福建省</v>
      </c>
      <c r="B454">
        <f ca="1">OFFSET($O$1,0,MOD(ROW(454:454)-2,35))</f>
        <v>2022</v>
      </c>
      <c r="C454">
        <f ca="1" t="shared" si="77"/>
        <v>0.36599472</v>
      </c>
      <c r="D454">
        <f ca="1" t="shared" si="78"/>
        <v>7</v>
      </c>
      <c r="E454">
        <f ca="1" t="shared" si="79"/>
        <v>2</v>
      </c>
      <c r="F454">
        <f ca="1" t="shared" si="80"/>
        <v>0.621910428048</v>
      </c>
      <c r="G454">
        <f ca="1" t="shared" si="81"/>
        <v>0.0913303224288</v>
      </c>
      <c r="H454">
        <f ca="1" t="shared" si="82"/>
        <v>0.819224281512</v>
      </c>
      <c r="I454">
        <f ca="1" t="shared" si="83"/>
        <v>1598</v>
      </c>
      <c r="J454">
        <f ca="1" t="shared" si="84"/>
        <v>268</v>
      </c>
      <c r="K454">
        <f ca="1" t="shared" si="85"/>
        <v>24366</v>
      </c>
      <c r="L454">
        <f ca="1" t="shared" si="86"/>
        <v>5611</v>
      </c>
      <c r="M454">
        <f ca="1" t="shared" si="87"/>
        <v>0.0297982444032</v>
      </c>
    </row>
    <row r="455" spans="1:13">
      <c r="A455" t="str">
        <f ca="1">OFFSET($N$2,(ROW(455:455)-2)/35,0)</f>
        <v>福建省</v>
      </c>
      <c r="B455">
        <f ca="1">OFFSET($O$1,0,MOD(ROW(455:455)-2,35))</f>
        <v>2023</v>
      </c>
      <c r="C455">
        <f ca="1" t="shared" si="77"/>
        <v>0.37051896</v>
      </c>
      <c r="D455">
        <f ca="1" t="shared" si="78"/>
        <v>7</v>
      </c>
      <c r="E455">
        <f ca="1" t="shared" si="79"/>
        <v>2</v>
      </c>
      <c r="F455">
        <f ca="1" t="shared" si="80"/>
        <v>0.636292210008</v>
      </c>
      <c r="G455">
        <f ca="1" t="shared" si="81"/>
        <v>0.0921054556716</v>
      </c>
      <c r="H455">
        <f ca="1" t="shared" si="82"/>
        <v>0.862975709736</v>
      </c>
      <c r="I455">
        <f ca="1" t="shared" si="83"/>
        <v>2157</v>
      </c>
      <c r="J455">
        <f ca="1" t="shared" si="84"/>
        <v>351</v>
      </c>
      <c r="K455">
        <f ca="1" t="shared" si="85"/>
        <v>29494</v>
      </c>
      <c r="L455">
        <f ca="1" t="shared" si="86"/>
        <v>3782</v>
      </c>
      <c r="M455">
        <f ca="1" t="shared" si="87"/>
        <v>0.0311611738488</v>
      </c>
    </row>
    <row r="456" spans="1:13">
      <c r="A456" t="str">
        <f ca="1">OFFSET($N$2,(ROW(456:456)-2)/35,0)</f>
        <v>福建省</v>
      </c>
      <c r="B456">
        <f ca="1">OFFSET($O$1,0,MOD(ROW(456:456)-2,35))</f>
        <v>2024</v>
      </c>
      <c r="C456">
        <f ca="1" t="shared" si="77"/>
        <v>0.39107376</v>
      </c>
      <c r="D456">
        <f ca="1" t="shared" si="78"/>
        <v>7</v>
      </c>
      <c r="E456">
        <f ca="1" t="shared" si="79"/>
        <v>2</v>
      </c>
      <c r="F456">
        <f ca="1" t="shared" si="80"/>
        <v>0.653575503504</v>
      </c>
      <c r="G456">
        <f ca="1" t="shared" si="81"/>
        <v>0.0913470088608</v>
      </c>
      <c r="H456">
        <f ca="1" t="shared" si="82"/>
        <v>0.887502790944</v>
      </c>
      <c r="I456">
        <f ca="1" t="shared" si="83"/>
        <v>1874</v>
      </c>
      <c r="J456">
        <f ca="1" t="shared" si="84"/>
        <v>377</v>
      </c>
      <c r="K456">
        <f ca="1" t="shared" si="85"/>
        <v>44172</v>
      </c>
      <c r="L456">
        <f ca="1" t="shared" si="86"/>
        <v>4469</v>
      </c>
      <c r="M456">
        <f ca="1" t="shared" si="87"/>
        <v>0.0322708479984</v>
      </c>
    </row>
    <row r="457" spans="1:13">
      <c r="A457" t="str">
        <f ca="1">OFFSET($N$2,(ROW(457:457)-2)/35,0)</f>
        <v>江西省</v>
      </c>
      <c r="B457">
        <f ca="1">OFFSET($O$1,0,MOD(ROW(457:457)-2,35))</f>
        <v>1990</v>
      </c>
      <c r="C457">
        <f ca="1" t="shared" si="77"/>
        <v>0.0914676</v>
      </c>
      <c r="D457">
        <f ca="1" t="shared" si="78"/>
        <v>3</v>
      </c>
      <c r="E457">
        <f ca="1" t="shared" si="79"/>
        <v>0</v>
      </c>
      <c r="F457">
        <f ca="1" t="shared" si="80"/>
        <v>0.17263899716</v>
      </c>
      <c r="G457">
        <f ca="1" t="shared" si="81"/>
        <v>0.022764456288</v>
      </c>
      <c r="H457">
        <f ca="1" t="shared" si="82"/>
        <v>0.19294632882</v>
      </c>
      <c r="I457">
        <f ca="1" t="shared" si="83"/>
        <v>366</v>
      </c>
      <c r="J457">
        <f ca="1" t="shared" si="84"/>
        <v>18</v>
      </c>
      <c r="K457">
        <f ca="1" t="shared" si="85"/>
        <v>9484</v>
      </c>
      <c r="L457">
        <f ca="1" t="shared" si="86"/>
        <v>1001</v>
      </c>
      <c r="M457">
        <f ca="1" t="shared" si="87"/>
        <v>0.007622387112</v>
      </c>
    </row>
    <row r="458" spans="1:13">
      <c r="A458" t="str">
        <f ca="1">OFFSET($N$2,(ROW(458:458)-2)/35,0)</f>
        <v>江西省</v>
      </c>
      <c r="B458">
        <f ca="1">OFFSET($O$1,0,MOD(ROW(458:458)-2,35))</f>
        <v>1991</v>
      </c>
      <c r="C458">
        <f ca="1" t="shared" si="77"/>
        <v>0.09884028</v>
      </c>
      <c r="D458">
        <f ca="1" t="shared" si="78"/>
        <v>3</v>
      </c>
      <c r="E458">
        <f ca="1" t="shared" si="79"/>
        <v>0</v>
      </c>
      <c r="F458">
        <f ca="1" t="shared" si="80"/>
        <v>0.170324865172</v>
      </c>
      <c r="G458">
        <f ca="1" t="shared" si="81"/>
        <v>0.0205113349056</v>
      </c>
      <c r="H458">
        <f ca="1" t="shared" si="82"/>
        <v>0.23212639758</v>
      </c>
      <c r="I458">
        <f ca="1" t="shared" si="83"/>
        <v>473</v>
      </c>
      <c r="J458">
        <f ca="1" t="shared" si="84"/>
        <v>18</v>
      </c>
      <c r="K458">
        <f ca="1" t="shared" si="85"/>
        <v>6601</v>
      </c>
      <c r="L458">
        <f ca="1" t="shared" si="86"/>
        <v>1973</v>
      </c>
      <c r="M458">
        <f ca="1" t="shared" si="87"/>
        <v>0.0077736468216</v>
      </c>
    </row>
    <row r="459" spans="1:13">
      <c r="A459" t="str">
        <f ca="1">OFFSET($N$2,(ROW(459:459)-2)/35,0)</f>
        <v>江西省</v>
      </c>
      <c r="B459">
        <f ca="1">OFFSET($O$1,0,MOD(ROW(459:459)-2,35))</f>
        <v>1992</v>
      </c>
      <c r="C459">
        <f ca="1" t="shared" si="77"/>
        <v>0.10435824</v>
      </c>
      <c r="D459">
        <f ca="1" t="shared" si="78"/>
        <v>4</v>
      </c>
      <c r="E459">
        <f ca="1" t="shared" si="79"/>
        <v>0</v>
      </c>
      <c r="F459">
        <f ca="1" t="shared" si="80"/>
        <v>0.20725546464</v>
      </c>
      <c r="G459">
        <f ca="1" t="shared" si="81"/>
        <v>0.0250099740072</v>
      </c>
      <c r="H459">
        <f ca="1" t="shared" si="82"/>
        <v>0.230600402928</v>
      </c>
      <c r="I459">
        <f ca="1" t="shared" si="83"/>
        <v>458</v>
      </c>
      <c r="J459">
        <f ca="1" t="shared" si="84"/>
        <v>18</v>
      </c>
      <c r="K459">
        <f ca="1" t="shared" si="85"/>
        <v>7608</v>
      </c>
      <c r="L459">
        <f ca="1" t="shared" si="86"/>
        <v>1387</v>
      </c>
      <c r="M459">
        <f ca="1" t="shared" si="87"/>
        <v>0.0076739086368</v>
      </c>
    </row>
    <row r="460" spans="1:13">
      <c r="A460" t="str">
        <f ca="1">OFFSET($N$2,(ROW(460:460)-2)/35,0)</f>
        <v>江西省</v>
      </c>
      <c r="B460">
        <f ca="1">OFFSET($O$1,0,MOD(ROW(460:460)-2,35))</f>
        <v>1993</v>
      </c>
      <c r="C460">
        <f ca="1" t="shared" si="77"/>
        <v>0.11836188</v>
      </c>
      <c r="D460">
        <f ca="1" t="shared" si="78"/>
        <v>5</v>
      </c>
      <c r="E460">
        <f ca="1" t="shared" si="79"/>
        <v>0</v>
      </c>
      <c r="F460">
        <f ca="1" t="shared" si="80"/>
        <v>0.222780730536</v>
      </c>
      <c r="G460">
        <f ca="1" t="shared" si="81"/>
        <v>0.0270610766244</v>
      </c>
      <c r="H460">
        <f ca="1" t="shared" si="82"/>
        <v>0.281328434478</v>
      </c>
      <c r="I460">
        <f ca="1" t="shared" si="83"/>
        <v>486</v>
      </c>
      <c r="J460">
        <f ca="1" t="shared" si="84"/>
        <v>19</v>
      </c>
      <c r="K460">
        <f ca="1" t="shared" si="85"/>
        <v>12947</v>
      </c>
      <c r="L460">
        <f ca="1" t="shared" si="86"/>
        <v>1587</v>
      </c>
      <c r="M460">
        <f ca="1" t="shared" si="87"/>
        <v>0.0098331668136</v>
      </c>
    </row>
    <row r="461" spans="1:13">
      <c r="A461" t="str">
        <f ca="1">OFFSET($N$2,(ROW(461:461)-2)/35,0)</f>
        <v>江西省</v>
      </c>
      <c r="B461">
        <f ca="1">OFFSET($O$1,0,MOD(ROW(461:461)-2,35))</f>
        <v>1994</v>
      </c>
      <c r="C461">
        <f ca="1" t="shared" si="77"/>
        <v>0.12317424</v>
      </c>
      <c r="D461">
        <f ca="1" t="shared" si="78"/>
        <v>5</v>
      </c>
      <c r="E461">
        <f ca="1" t="shared" si="79"/>
        <v>0</v>
      </c>
      <c r="F461">
        <f ca="1" t="shared" si="80"/>
        <v>0.226632389984</v>
      </c>
      <c r="G461">
        <f ca="1" t="shared" si="81"/>
        <v>0.029401691088</v>
      </c>
      <c r="H461">
        <f ca="1" t="shared" si="82"/>
        <v>0.27618743964</v>
      </c>
      <c r="I461">
        <f ca="1" t="shared" si="83"/>
        <v>590</v>
      </c>
      <c r="J461">
        <f ca="1" t="shared" si="84"/>
        <v>16</v>
      </c>
      <c r="K461">
        <f ca="1" t="shared" si="85"/>
        <v>11170</v>
      </c>
      <c r="L461">
        <f ca="1" t="shared" si="86"/>
        <v>2095</v>
      </c>
      <c r="M461">
        <f ca="1" t="shared" si="87"/>
        <v>0.0094661163072</v>
      </c>
    </row>
    <row r="462" spans="1:13">
      <c r="A462" t="str">
        <f ca="1">OFFSET($N$2,(ROW(462:462)-2)/35,0)</f>
        <v>江西省</v>
      </c>
      <c r="B462">
        <f ca="1">OFFSET($O$1,0,MOD(ROW(462:462)-2,35))</f>
        <v>1995</v>
      </c>
      <c r="C462">
        <f ca="1" t="shared" si="77"/>
        <v>0.1385874</v>
      </c>
      <c r="D462">
        <f ca="1" t="shared" si="78"/>
        <v>5</v>
      </c>
      <c r="E462">
        <f ca="1" t="shared" si="79"/>
        <v>0</v>
      </c>
      <c r="F462">
        <f ca="1" t="shared" si="80"/>
        <v>0.24712905168</v>
      </c>
      <c r="G462">
        <f ca="1" t="shared" si="81"/>
        <v>0.032177915469</v>
      </c>
      <c r="H462">
        <f ca="1" t="shared" si="82"/>
        <v>0.32619316338</v>
      </c>
      <c r="I462">
        <f ca="1" t="shared" si="83"/>
        <v>687</v>
      </c>
      <c r="J462">
        <f ca="1" t="shared" si="84"/>
        <v>26</v>
      </c>
      <c r="K462">
        <f ca="1" t="shared" si="85"/>
        <v>15599</v>
      </c>
      <c r="L462">
        <f ca="1" t="shared" si="86"/>
        <v>2487</v>
      </c>
      <c r="M462">
        <f ca="1" t="shared" si="87"/>
        <v>0.010006802208</v>
      </c>
    </row>
    <row r="463" spans="1:13">
      <c r="A463" t="str">
        <f ca="1">OFFSET($N$2,(ROW(463:463)-2)/35,0)</f>
        <v>江西省</v>
      </c>
      <c r="B463">
        <f ca="1">OFFSET($O$1,0,MOD(ROW(463:463)-2,35))</f>
        <v>1996</v>
      </c>
      <c r="C463">
        <f ca="1" t="shared" si="77"/>
        <v>0.14525952</v>
      </c>
      <c r="D463">
        <f ca="1" t="shared" si="78"/>
        <v>5</v>
      </c>
      <c r="E463">
        <f ca="1" t="shared" si="79"/>
        <v>0</v>
      </c>
      <c r="F463">
        <f ca="1" t="shared" si="80"/>
        <v>0.260140432384</v>
      </c>
      <c r="G463">
        <f ca="1" t="shared" si="81"/>
        <v>0.0360599495424</v>
      </c>
      <c r="H463">
        <f ca="1" t="shared" si="82"/>
        <v>0.336740619264</v>
      </c>
      <c r="I463">
        <f ca="1" t="shared" si="83"/>
        <v>788</v>
      </c>
      <c r="J463">
        <f ca="1" t="shared" si="84"/>
        <v>21</v>
      </c>
      <c r="K463">
        <f ca="1" t="shared" si="85"/>
        <v>11192</v>
      </c>
      <c r="L463">
        <f ca="1" t="shared" si="86"/>
        <v>1991</v>
      </c>
      <c r="M463">
        <f ca="1" t="shared" si="87"/>
        <v>0.0122771271168</v>
      </c>
    </row>
    <row r="464" spans="1:13">
      <c r="A464" t="str">
        <f ca="1">OFFSET($N$2,(ROW(464:464)-2)/35,0)</f>
        <v>江西省</v>
      </c>
      <c r="B464">
        <f ca="1">OFFSET($O$1,0,MOD(ROW(464:464)-2,35))</f>
        <v>1997</v>
      </c>
      <c r="C464">
        <f ca="1" t="shared" si="77"/>
        <v>0.14812644</v>
      </c>
      <c r="D464">
        <f ca="1" t="shared" si="78"/>
        <v>5</v>
      </c>
      <c r="E464">
        <f ca="1" t="shared" si="79"/>
        <v>0</v>
      </c>
      <c r="F464">
        <f ca="1" t="shared" si="80"/>
        <v>0.267363286652</v>
      </c>
      <c r="G464">
        <f ca="1" t="shared" si="81"/>
        <v>0.029858587143</v>
      </c>
      <c r="H464">
        <f ca="1" t="shared" si="82"/>
        <v>0.310354517088</v>
      </c>
      <c r="I464">
        <f ca="1" t="shared" si="83"/>
        <v>612</v>
      </c>
      <c r="J464">
        <f ca="1" t="shared" si="84"/>
        <v>25</v>
      </c>
      <c r="K464">
        <f ca="1" t="shared" si="85"/>
        <v>14727</v>
      </c>
      <c r="L464">
        <f ca="1" t="shared" si="86"/>
        <v>2728</v>
      </c>
      <c r="M464">
        <f ca="1" t="shared" si="87"/>
        <v>0.0109450626516</v>
      </c>
    </row>
    <row r="465" spans="1:13">
      <c r="A465" t="str">
        <f ca="1">OFFSET($N$2,(ROW(465:465)-2)/35,0)</f>
        <v>江西省</v>
      </c>
      <c r="B465">
        <f ca="1">OFFSET($O$1,0,MOD(ROW(465:465)-2,35))</f>
        <v>1998</v>
      </c>
      <c r="C465">
        <f ca="1" t="shared" si="77"/>
        <v>0.16630488</v>
      </c>
      <c r="D465">
        <f ca="1" t="shared" si="78"/>
        <v>5</v>
      </c>
      <c r="E465">
        <f ca="1" t="shared" si="79"/>
        <v>0</v>
      </c>
      <c r="F465">
        <f ca="1" t="shared" si="80"/>
        <v>0.319322000088</v>
      </c>
      <c r="G465">
        <f ca="1" t="shared" si="81"/>
        <v>0.0339494782032</v>
      </c>
      <c r="H465">
        <f ca="1" t="shared" si="82"/>
        <v>0.33439753746</v>
      </c>
      <c r="I465">
        <f ca="1" t="shared" si="83"/>
        <v>685</v>
      </c>
      <c r="J465">
        <f ca="1" t="shared" si="84"/>
        <v>26</v>
      </c>
      <c r="K465">
        <f ca="1" t="shared" si="85"/>
        <v>17257</v>
      </c>
      <c r="L465">
        <f ca="1" t="shared" si="86"/>
        <v>2300</v>
      </c>
      <c r="M465">
        <f ca="1" t="shared" si="87"/>
        <v>0.0136510172856</v>
      </c>
    </row>
    <row r="466" spans="1:13">
      <c r="A466" t="str">
        <f ca="1">OFFSET($N$2,(ROW(466:466)-2)/35,0)</f>
        <v>江西省</v>
      </c>
      <c r="B466">
        <f ca="1">OFFSET($O$1,0,MOD(ROW(466:466)-2,35))</f>
        <v>1999</v>
      </c>
      <c r="C466">
        <f ca="1" t="shared" si="77"/>
        <v>0.17134656</v>
      </c>
      <c r="D466">
        <f ca="1" t="shared" si="78"/>
        <v>5</v>
      </c>
      <c r="E466">
        <f ca="1" t="shared" si="79"/>
        <v>0</v>
      </c>
      <c r="F466">
        <f ca="1" t="shared" si="80"/>
        <v>0.32704346752</v>
      </c>
      <c r="G466">
        <f ca="1" t="shared" si="81"/>
        <v>0.0420929959296</v>
      </c>
      <c r="H466">
        <f ca="1" t="shared" si="82"/>
        <v>0.38471586384</v>
      </c>
      <c r="I466">
        <f ca="1" t="shared" si="83"/>
        <v>714</v>
      </c>
      <c r="J466">
        <f ca="1" t="shared" si="84"/>
        <v>19</v>
      </c>
      <c r="K466">
        <f ca="1" t="shared" si="85"/>
        <v>19999</v>
      </c>
      <c r="L466">
        <f ca="1" t="shared" si="86"/>
        <v>2587</v>
      </c>
      <c r="M466">
        <f ca="1" t="shared" si="87"/>
        <v>0.012582957024</v>
      </c>
    </row>
    <row r="467" spans="1:13">
      <c r="A467" t="str">
        <f ca="1">OFFSET($N$2,(ROW(467:467)-2)/35,0)</f>
        <v>江西省</v>
      </c>
      <c r="B467">
        <f ca="1">OFFSET($O$1,0,MOD(ROW(467:467)-2,35))</f>
        <v>2000</v>
      </c>
      <c r="C467">
        <f ca="1" t="shared" si="77"/>
        <v>0.182784</v>
      </c>
      <c r="D467">
        <f ca="1" t="shared" si="78"/>
        <v>5</v>
      </c>
      <c r="E467">
        <f ca="1" t="shared" si="79"/>
        <v>0</v>
      </c>
      <c r="F467">
        <f ca="1" t="shared" si="80"/>
        <v>0.310001664</v>
      </c>
      <c r="G467">
        <f ca="1" t="shared" si="81"/>
        <v>0.04182646272</v>
      </c>
      <c r="H467">
        <f ca="1" t="shared" si="82"/>
        <v>0.442611456</v>
      </c>
      <c r="I467">
        <f ca="1" t="shared" si="83"/>
        <v>859</v>
      </c>
      <c r="J467">
        <f ca="1" t="shared" si="84"/>
        <v>36</v>
      </c>
      <c r="K467">
        <f ca="1" t="shared" si="85"/>
        <v>18434</v>
      </c>
      <c r="L467">
        <f ca="1" t="shared" si="86"/>
        <v>3078</v>
      </c>
      <c r="M467">
        <f ca="1" t="shared" si="87"/>
        <v>0.01535960064</v>
      </c>
    </row>
    <row r="468" spans="1:13">
      <c r="A468" t="str">
        <f ca="1">OFFSET($N$2,(ROW(468:468)-2)/35,0)</f>
        <v>江西省</v>
      </c>
      <c r="B468">
        <f ca="1">OFFSET($O$1,0,MOD(ROW(468:468)-2,35))</f>
        <v>2001</v>
      </c>
      <c r="C468">
        <f ca="1" t="shared" si="77"/>
        <v>0.19134108</v>
      </c>
      <c r="D468">
        <f ca="1" t="shared" si="78"/>
        <v>5</v>
      </c>
      <c r="E468">
        <f ca="1" t="shared" si="79"/>
        <v>0</v>
      </c>
      <c r="F468">
        <f ca="1" t="shared" si="80"/>
        <v>0.323117681796</v>
      </c>
      <c r="G468">
        <f ca="1" t="shared" si="81"/>
        <v>0.0390938527602</v>
      </c>
      <c r="H468">
        <f ca="1" t="shared" si="82"/>
        <v>0.388967714478</v>
      </c>
      <c r="I468">
        <f ca="1" t="shared" si="83"/>
        <v>986</v>
      </c>
      <c r="J468">
        <f ca="1" t="shared" si="84"/>
        <v>24</v>
      </c>
      <c r="K468">
        <f ca="1" t="shared" si="85"/>
        <v>14778</v>
      </c>
      <c r="L468">
        <f ca="1" t="shared" si="86"/>
        <v>2372</v>
      </c>
      <c r="M468">
        <f ca="1" t="shared" si="87"/>
        <v>0.0151837347312</v>
      </c>
    </row>
    <row r="469" spans="1:13">
      <c r="A469" t="str">
        <f ca="1">OFFSET($N$2,(ROW(469:469)-2)/35,0)</f>
        <v>江西省</v>
      </c>
      <c r="B469">
        <f ca="1">OFFSET($O$1,0,MOD(ROW(469:469)-2,35))</f>
        <v>2002</v>
      </c>
      <c r="C469">
        <f ca="1" t="shared" si="77"/>
        <v>0.19267248</v>
      </c>
      <c r="D469">
        <f ca="1" t="shared" si="78"/>
        <v>5</v>
      </c>
      <c r="E469">
        <f ca="1" t="shared" si="79"/>
        <v>0</v>
      </c>
      <c r="F469">
        <f ca="1" t="shared" si="80"/>
        <v>0.322328214208</v>
      </c>
      <c r="G469">
        <f ca="1" t="shared" si="81"/>
        <v>0.0479263160376</v>
      </c>
      <c r="H469">
        <f ca="1" t="shared" si="82"/>
        <v>0.41236727532</v>
      </c>
      <c r="I469">
        <f ca="1" t="shared" si="83"/>
        <v>843</v>
      </c>
      <c r="J469">
        <f ca="1" t="shared" si="84"/>
        <v>30</v>
      </c>
      <c r="K469">
        <f ca="1" t="shared" si="85"/>
        <v>16598</v>
      </c>
      <c r="L469">
        <f ca="1" t="shared" si="86"/>
        <v>2404</v>
      </c>
      <c r="M469">
        <f ca="1" t="shared" si="87"/>
        <v>0.0149125747056</v>
      </c>
    </row>
    <row r="470" spans="1:13">
      <c r="A470" t="str">
        <f ca="1">OFFSET($N$2,(ROW(470:470)-2)/35,0)</f>
        <v>江西省</v>
      </c>
      <c r="B470">
        <f ca="1">OFFSET($O$1,0,MOD(ROW(470:470)-2,35))</f>
        <v>2003</v>
      </c>
      <c r="C470">
        <f ca="1" t="shared" si="77"/>
        <v>0.2080764</v>
      </c>
      <c r="D470">
        <f ca="1" t="shared" si="78"/>
        <v>5</v>
      </c>
      <c r="E470">
        <f ca="1" t="shared" si="79"/>
        <v>0</v>
      </c>
      <c r="F470">
        <f ca="1" t="shared" si="80"/>
        <v>0.3498804666</v>
      </c>
      <c r="G470">
        <f ca="1" t="shared" si="81"/>
        <v>0.042212459268</v>
      </c>
      <c r="H470">
        <f ca="1" t="shared" si="82"/>
        <v>0.45072469386</v>
      </c>
      <c r="I470">
        <f ca="1" t="shared" si="83"/>
        <v>1052</v>
      </c>
      <c r="J470">
        <f ca="1" t="shared" si="84"/>
        <v>39</v>
      </c>
      <c r="K470">
        <f ca="1" t="shared" si="85"/>
        <v>20452</v>
      </c>
      <c r="L470">
        <f ca="1" t="shared" si="86"/>
        <v>2279</v>
      </c>
      <c r="M470">
        <f ca="1" t="shared" si="87"/>
        <v>0.015360199848</v>
      </c>
    </row>
    <row r="471" spans="1:13">
      <c r="A471" t="str">
        <f ca="1">OFFSET($N$2,(ROW(471:471)-2)/35,0)</f>
        <v>江西省</v>
      </c>
      <c r="B471">
        <f ca="1">OFFSET($O$1,0,MOD(ROW(471:471)-2,35))</f>
        <v>2004</v>
      </c>
      <c r="C471">
        <f ca="1" t="shared" si="77"/>
        <v>0.21083328</v>
      </c>
      <c r="D471">
        <f ca="1" t="shared" si="78"/>
        <v>5</v>
      </c>
      <c r="E471">
        <f ca="1" t="shared" si="79"/>
        <v>0</v>
      </c>
      <c r="F471">
        <f ca="1" t="shared" si="80"/>
        <v>0.410155062912</v>
      </c>
      <c r="G471">
        <f ca="1" t="shared" si="81"/>
        <v>0.0436857097824</v>
      </c>
      <c r="H471">
        <f ca="1" t="shared" si="82"/>
        <v>0.4957217496</v>
      </c>
      <c r="I471">
        <f ca="1" t="shared" si="83"/>
        <v>1059</v>
      </c>
      <c r="J471">
        <f ca="1" t="shared" si="84"/>
        <v>22</v>
      </c>
      <c r="K471">
        <f ca="1" t="shared" si="85"/>
        <v>24595</v>
      </c>
      <c r="L471">
        <f ca="1" t="shared" si="86"/>
        <v>4055</v>
      </c>
      <c r="M471">
        <f ca="1" t="shared" si="87"/>
        <v>0.015755269824</v>
      </c>
    </row>
    <row r="472" spans="1:13">
      <c r="A472" t="str">
        <f ca="1">OFFSET($N$2,(ROW(472:472)-2)/35,0)</f>
        <v>江西省</v>
      </c>
      <c r="B472">
        <f ca="1">OFFSET($O$1,0,MOD(ROW(472:472)-2,35))</f>
        <v>2005</v>
      </c>
      <c r="C472">
        <f ca="1" t="shared" si="77"/>
        <v>0.226422</v>
      </c>
      <c r="D472">
        <f ca="1" t="shared" si="78"/>
        <v>5</v>
      </c>
      <c r="E472">
        <f ca="1" t="shared" si="79"/>
        <v>0</v>
      </c>
      <c r="F472">
        <f ca="1" t="shared" si="80"/>
        <v>0.3796115778</v>
      </c>
      <c r="G472">
        <f ca="1" t="shared" si="81"/>
        <v>0.05504998086</v>
      </c>
      <c r="H472">
        <f ca="1" t="shared" si="82"/>
        <v>0.4650368247</v>
      </c>
      <c r="I472">
        <f ca="1" t="shared" si="83"/>
        <v>1054</v>
      </c>
      <c r="J472">
        <f ca="1" t="shared" si="84"/>
        <v>36</v>
      </c>
      <c r="K472">
        <f ca="1" t="shared" si="85"/>
        <v>21194</v>
      </c>
      <c r="L472">
        <f ca="1" t="shared" si="86"/>
        <v>2274</v>
      </c>
      <c r="M472">
        <f ca="1" t="shared" si="87"/>
        <v>0.0169298964</v>
      </c>
    </row>
    <row r="473" spans="1:13">
      <c r="A473" t="str">
        <f ca="1">OFFSET($N$2,(ROW(473:473)-2)/35,0)</f>
        <v>江西省</v>
      </c>
      <c r="B473">
        <f ca="1">OFFSET($O$1,0,MOD(ROW(473:473)-2,35))</f>
        <v>2006</v>
      </c>
      <c r="C473">
        <f ca="1" t="shared" si="77"/>
        <v>0.23558808</v>
      </c>
      <c r="D473">
        <f ca="1" t="shared" si="78"/>
        <v>5</v>
      </c>
      <c r="E473">
        <f ca="1" t="shared" si="79"/>
        <v>0</v>
      </c>
      <c r="F473">
        <f ca="1" t="shared" si="80"/>
        <v>0.454834200184</v>
      </c>
      <c r="G473">
        <f ca="1" t="shared" si="81"/>
        <v>0.0513688029036</v>
      </c>
      <c r="H473">
        <f ca="1" t="shared" si="82"/>
        <v>0.540545070156</v>
      </c>
      <c r="I473">
        <f ca="1" t="shared" si="83"/>
        <v>1256</v>
      </c>
      <c r="J473">
        <f ca="1" t="shared" si="84"/>
        <v>42</v>
      </c>
      <c r="K473">
        <f ca="1" t="shared" si="85"/>
        <v>22636</v>
      </c>
      <c r="L473">
        <f ca="1" t="shared" si="86"/>
        <v>3682</v>
      </c>
      <c r="M473">
        <f ca="1" t="shared" si="87"/>
        <v>0.0185502054192</v>
      </c>
    </row>
    <row r="474" spans="1:13">
      <c r="A474" t="str">
        <f ca="1">OFFSET($N$2,(ROW(474:474)-2)/35,0)</f>
        <v>江西省</v>
      </c>
      <c r="B474">
        <f ca="1">OFFSET($O$1,0,MOD(ROW(474:474)-2,35))</f>
        <v>2007</v>
      </c>
      <c r="C474">
        <f ca="1" t="shared" si="77"/>
        <v>0.24473988</v>
      </c>
      <c r="D474">
        <f ca="1" t="shared" si="78"/>
        <v>5</v>
      </c>
      <c r="E474">
        <f ca="1" t="shared" si="79"/>
        <v>0</v>
      </c>
      <c r="F474">
        <f ca="1" t="shared" si="80"/>
        <v>0.410281934832</v>
      </c>
      <c r="G474">
        <f ca="1" t="shared" si="81"/>
        <v>0.0606783584484</v>
      </c>
      <c r="H474">
        <f ca="1" t="shared" si="82"/>
        <v>0.573437775834</v>
      </c>
      <c r="I474">
        <f ca="1" t="shared" si="83"/>
        <v>1444</v>
      </c>
      <c r="J474">
        <f ca="1" t="shared" si="84"/>
        <v>41</v>
      </c>
      <c r="K474">
        <f ca="1" t="shared" si="85"/>
        <v>21448</v>
      </c>
      <c r="L474">
        <f ca="1" t="shared" si="86"/>
        <v>3331</v>
      </c>
      <c r="M474">
        <f ca="1" t="shared" si="87"/>
        <v>0.0195994688472</v>
      </c>
    </row>
    <row r="475" spans="1:13">
      <c r="A475" t="str">
        <f ca="1">OFFSET($N$2,(ROW(475:475)-2)/35,0)</f>
        <v>江西省</v>
      </c>
      <c r="B475">
        <f ca="1">OFFSET($O$1,0,MOD(ROW(475:475)-2,35))</f>
        <v>2008</v>
      </c>
      <c r="C475">
        <f ca="1" t="shared" si="77"/>
        <v>0.23632896</v>
      </c>
      <c r="D475">
        <f ca="1" t="shared" si="78"/>
        <v>5</v>
      </c>
      <c r="E475">
        <f ca="1" t="shared" si="79"/>
        <v>0</v>
      </c>
      <c r="F475">
        <f ca="1" t="shared" si="80"/>
        <v>0.427306392576</v>
      </c>
      <c r="G475">
        <f ca="1" t="shared" si="81"/>
        <v>0.0506370246144</v>
      </c>
      <c r="H475">
        <f ca="1" t="shared" si="82"/>
        <v>0.515764322304</v>
      </c>
      <c r="I475">
        <f ca="1" t="shared" si="83"/>
        <v>1381</v>
      </c>
      <c r="J475">
        <f ca="1" t="shared" si="84"/>
        <v>26</v>
      </c>
      <c r="K475">
        <f ca="1" t="shared" si="85"/>
        <v>25457</v>
      </c>
      <c r="L475">
        <f ca="1" t="shared" si="86"/>
        <v>4395</v>
      </c>
      <c r="M475">
        <f ca="1" t="shared" si="87"/>
        <v>0.0196949803008</v>
      </c>
    </row>
    <row r="476" spans="1:13">
      <c r="A476" t="str">
        <f ca="1">OFFSET($N$2,(ROW(476:476)-2)/35,0)</f>
        <v>江西省</v>
      </c>
      <c r="B476">
        <f ca="1">OFFSET($O$1,0,MOD(ROW(476:476)-2,35))</f>
        <v>2009</v>
      </c>
      <c r="C476">
        <f ca="1" t="shared" si="77"/>
        <v>0.25295424</v>
      </c>
      <c r="D476">
        <f ca="1" t="shared" si="78"/>
        <v>5</v>
      </c>
      <c r="E476">
        <f ca="1" t="shared" si="79"/>
        <v>0</v>
      </c>
      <c r="F476">
        <f ca="1" t="shared" si="80"/>
        <v>0.44810843616</v>
      </c>
      <c r="G476">
        <f ca="1" t="shared" si="81"/>
        <v>0.057237220656</v>
      </c>
      <c r="H476">
        <f ca="1" t="shared" si="82"/>
        <v>0.627541526304</v>
      </c>
      <c r="I476">
        <f ca="1" t="shared" si="83"/>
        <v>1223</v>
      </c>
      <c r="J476">
        <f ca="1" t="shared" si="84"/>
        <v>43</v>
      </c>
      <c r="K476">
        <f ca="1" t="shared" si="85"/>
        <v>18023</v>
      </c>
      <c r="L476">
        <f ca="1" t="shared" si="86"/>
        <v>4341</v>
      </c>
      <c r="M476">
        <f ca="1" t="shared" si="87"/>
        <v>0.0208156044096</v>
      </c>
    </row>
    <row r="477" spans="1:13">
      <c r="A477" t="str">
        <f ca="1">OFFSET($N$2,(ROW(477:477)-2)/35,0)</f>
        <v>江西省</v>
      </c>
      <c r="B477">
        <f ca="1">OFFSET($O$1,0,MOD(ROW(477:477)-2,35))</f>
        <v>2010</v>
      </c>
      <c r="C477">
        <f ca="1" t="shared" si="77"/>
        <v>0.2584008</v>
      </c>
      <c r="D477">
        <f ca="1" t="shared" si="78"/>
        <v>5</v>
      </c>
      <c r="E477">
        <f ca="1" t="shared" si="79"/>
        <v>0</v>
      </c>
      <c r="F477">
        <f ca="1" t="shared" si="80"/>
        <v>0.48078052848</v>
      </c>
      <c r="G477">
        <f ca="1" t="shared" si="81"/>
        <v>0.055959277248</v>
      </c>
      <c r="H477">
        <f ca="1" t="shared" si="82"/>
        <v>0.59182827228</v>
      </c>
      <c r="I477">
        <f ca="1" t="shared" si="83"/>
        <v>1338</v>
      </c>
      <c r="J477">
        <f ca="1" t="shared" si="84"/>
        <v>33</v>
      </c>
      <c r="K477">
        <f ca="1" t="shared" si="85"/>
        <v>19503</v>
      </c>
      <c r="L477">
        <f ca="1" t="shared" si="86"/>
        <v>3663</v>
      </c>
      <c r="M477">
        <f ca="1" t="shared" si="87"/>
        <v>0.020708240112</v>
      </c>
    </row>
    <row r="478" spans="1:13">
      <c r="A478" t="str">
        <f ca="1">OFFSET($N$2,(ROW(478:478)-2)/35,0)</f>
        <v>江西省</v>
      </c>
      <c r="B478">
        <f ca="1">OFFSET($O$1,0,MOD(ROW(478:478)-2,35))</f>
        <v>2011</v>
      </c>
      <c r="C478">
        <f ca="1" t="shared" si="77"/>
        <v>0.26745684</v>
      </c>
      <c r="D478">
        <f ca="1" t="shared" si="78"/>
        <v>5</v>
      </c>
      <c r="E478">
        <f ca="1" t="shared" si="79"/>
        <v>0</v>
      </c>
      <c r="F478">
        <f ca="1" t="shared" si="80"/>
        <v>0.474013757532</v>
      </c>
      <c r="G478">
        <f ca="1" t="shared" si="81"/>
        <v>0.056553748818</v>
      </c>
      <c r="H478">
        <f ca="1" t="shared" si="82"/>
        <v>0.56426706819</v>
      </c>
      <c r="I478">
        <f ca="1" t="shared" si="83"/>
        <v>1557</v>
      </c>
      <c r="J478">
        <f ca="1" t="shared" si="84"/>
        <v>31</v>
      </c>
      <c r="K478">
        <f ca="1" t="shared" si="85"/>
        <v>16710</v>
      </c>
      <c r="L478">
        <f ca="1" t="shared" si="86"/>
        <v>3559</v>
      </c>
      <c r="M478">
        <f ca="1" t="shared" si="87"/>
        <v>0.02062283277</v>
      </c>
    </row>
    <row r="479" spans="1:13">
      <c r="A479" t="str">
        <f ca="1">OFFSET($N$2,(ROW(479:479)-2)/35,0)</f>
        <v>江西省</v>
      </c>
      <c r="B479">
        <f ca="1">OFFSET($O$1,0,MOD(ROW(479:479)-2,35))</f>
        <v>2012</v>
      </c>
      <c r="C479">
        <f ca="1" t="shared" si="77"/>
        <v>0.27570816</v>
      </c>
      <c r="D479">
        <f ca="1" t="shared" si="78"/>
        <v>5</v>
      </c>
      <c r="E479">
        <f ca="1" t="shared" si="79"/>
        <v>0</v>
      </c>
      <c r="F479">
        <f ca="1" t="shared" si="80"/>
        <v>0.509582201856</v>
      </c>
      <c r="G479">
        <f ca="1" t="shared" si="81"/>
        <v>0.063640336032</v>
      </c>
      <c r="H479">
        <f ca="1" t="shared" si="82"/>
        <v>0.581137659648</v>
      </c>
      <c r="I479">
        <f ca="1" t="shared" si="83"/>
        <v>1295</v>
      </c>
      <c r="J479">
        <f ca="1" t="shared" si="84"/>
        <v>47</v>
      </c>
      <c r="K479">
        <f ca="1" t="shared" si="85"/>
        <v>21714</v>
      </c>
      <c r="L479">
        <f ca="1" t="shared" si="86"/>
        <v>4576</v>
      </c>
      <c r="M479">
        <f ca="1" t="shared" si="87"/>
        <v>0.0211657215744</v>
      </c>
    </row>
    <row r="480" spans="1:13">
      <c r="A480" t="str">
        <f ca="1">OFFSET($N$2,(ROW(480:480)-2)/35,0)</f>
        <v>江西省</v>
      </c>
      <c r="B480">
        <f ca="1">OFFSET($O$1,0,MOD(ROW(480:480)-2,35))</f>
        <v>2013</v>
      </c>
      <c r="C480">
        <f ca="1" t="shared" si="77"/>
        <v>0.28629216</v>
      </c>
      <c r="D480">
        <f ca="1" t="shared" si="78"/>
        <v>5</v>
      </c>
      <c r="E480">
        <f ca="1" t="shared" si="79"/>
        <v>0</v>
      </c>
      <c r="F480">
        <f ca="1" t="shared" si="80"/>
        <v>0.568366282176</v>
      </c>
      <c r="G480">
        <f ca="1" t="shared" si="81"/>
        <v>0.065138623704</v>
      </c>
      <c r="H480">
        <f ca="1" t="shared" si="82"/>
        <v>0.665944193376</v>
      </c>
      <c r="I480">
        <f ca="1" t="shared" si="83"/>
        <v>1266</v>
      </c>
      <c r="J480">
        <f ca="1" t="shared" si="84"/>
        <v>36</v>
      </c>
      <c r="K480">
        <f ca="1" t="shared" si="85"/>
        <v>27261</v>
      </c>
      <c r="L480">
        <f ca="1" t="shared" si="86"/>
        <v>5695</v>
      </c>
      <c r="M480">
        <f ca="1" t="shared" si="87"/>
        <v>0.0206555703552</v>
      </c>
    </row>
    <row r="481" spans="1:13">
      <c r="A481" t="str">
        <f ca="1">OFFSET($N$2,(ROW(481:481)-2)/35,0)</f>
        <v>江西省</v>
      </c>
      <c r="B481">
        <f ca="1">OFFSET($O$1,0,MOD(ROW(481:481)-2,35))</f>
        <v>2014</v>
      </c>
      <c r="C481">
        <f ca="1" t="shared" si="77"/>
        <v>0.31393152</v>
      </c>
      <c r="D481">
        <f ca="1" t="shared" si="78"/>
        <v>5</v>
      </c>
      <c r="E481">
        <f ca="1" t="shared" si="79"/>
        <v>0</v>
      </c>
      <c r="F481">
        <f ca="1" t="shared" si="80"/>
        <v>0.569388062208</v>
      </c>
      <c r="G481">
        <f ca="1" t="shared" si="81"/>
        <v>0.0651611959488</v>
      </c>
      <c r="H481">
        <f ca="1" t="shared" si="82"/>
        <v>0.713503558656</v>
      </c>
      <c r="I481">
        <f ca="1" t="shared" si="83"/>
        <v>1528</v>
      </c>
      <c r="J481">
        <f ca="1" t="shared" si="84"/>
        <v>61</v>
      </c>
      <c r="K481">
        <f ca="1" t="shared" si="85"/>
        <v>22049</v>
      </c>
      <c r="L481">
        <f ca="1" t="shared" si="86"/>
        <v>5616</v>
      </c>
      <c r="M481">
        <f ca="1" t="shared" si="87"/>
        <v>0.0253584912384</v>
      </c>
    </row>
    <row r="482" spans="1:13">
      <c r="A482" t="str">
        <f ca="1">OFFSET($N$2,(ROW(482:482)-2)/35,0)</f>
        <v>江西省</v>
      </c>
      <c r="B482">
        <f ca="1">OFFSET($O$1,0,MOD(ROW(482:482)-2,35))</f>
        <v>2015</v>
      </c>
      <c r="C482">
        <f ca="1" t="shared" si="77"/>
        <v>0.2988804</v>
      </c>
      <c r="D482">
        <f ca="1" t="shared" si="78"/>
        <v>5</v>
      </c>
      <c r="E482">
        <f ca="1" t="shared" si="79"/>
        <v>0</v>
      </c>
      <c r="F482">
        <f ca="1" t="shared" si="80"/>
        <v>0.54364352224</v>
      </c>
      <c r="G482">
        <f ca="1" t="shared" si="81"/>
        <v>0.071528057328</v>
      </c>
      <c r="H482">
        <f ca="1" t="shared" si="82"/>
        <v>0.73228686804</v>
      </c>
      <c r="I482">
        <f ca="1" t="shared" si="83"/>
        <v>1494</v>
      </c>
      <c r="J482">
        <f ca="1" t="shared" si="84"/>
        <v>76</v>
      </c>
      <c r="K482">
        <f ca="1" t="shared" si="85"/>
        <v>31935</v>
      </c>
      <c r="L482">
        <f ca="1" t="shared" si="86"/>
        <v>3393</v>
      </c>
      <c r="M482">
        <f ca="1" t="shared" si="87"/>
        <v>0.02234344476</v>
      </c>
    </row>
    <row r="483" spans="1:13">
      <c r="A483" t="str">
        <f ca="1">OFFSET($N$2,(ROW(483:483)-2)/35,0)</f>
        <v>江西省</v>
      </c>
      <c r="B483">
        <f ca="1">OFFSET($O$1,0,MOD(ROW(483:483)-2,35))</f>
        <v>2016</v>
      </c>
      <c r="C483">
        <f ca="1" t="shared" si="77"/>
        <v>0.32202576</v>
      </c>
      <c r="D483">
        <f ca="1" t="shared" si="78"/>
        <v>5</v>
      </c>
      <c r="E483">
        <f ca="1" t="shared" si="79"/>
        <v>0</v>
      </c>
      <c r="F483">
        <f ca="1" t="shared" si="80"/>
        <v>0.638437537584</v>
      </c>
      <c r="G483">
        <f ca="1" t="shared" si="81"/>
        <v>0.078678943812</v>
      </c>
      <c r="H483">
        <f ca="1" t="shared" si="82"/>
        <v>0.777418488504</v>
      </c>
      <c r="I483">
        <f ca="1" t="shared" si="83"/>
        <v>1720</v>
      </c>
      <c r="J483">
        <f ca="1" t="shared" si="84"/>
        <v>73</v>
      </c>
      <c r="K483">
        <f ca="1" t="shared" si="85"/>
        <v>23018</v>
      </c>
      <c r="L483">
        <f ca="1" t="shared" si="86"/>
        <v>6203</v>
      </c>
      <c r="M483">
        <f ca="1" t="shared" si="87"/>
        <v>0.0249951794544</v>
      </c>
    </row>
    <row r="484" spans="1:13">
      <c r="A484" t="str">
        <f ca="1">OFFSET($N$2,(ROW(484:484)-2)/35,0)</f>
        <v>江西省</v>
      </c>
      <c r="B484">
        <f ca="1">OFFSET($O$1,0,MOD(ROW(484:484)-2,35))</f>
        <v>2017</v>
      </c>
      <c r="C484">
        <f ca="1" t="shared" si="77"/>
        <v>0.3108</v>
      </c>
      <c r="D484">
        <f ca="1" t="shared" si="78"/>
        <v>6</v>
      </c>
      <c r="E484">
        <f ca="1" t="shared" si="79"/>
        <v>0</v>
      </c>
      <c r="F484">
        <f ca="1" t="shared" si="80"/>
        <v>0.54227348</v>
      </c>
      <c r="G484">
        <f ca="1" t="shared" si="81"/>
        <v>0.065115708</v>
      </c>
      <c r="H484">
        <f ca="1" t="shared" si="82"/>
        <v>0.68201952</v>
      </c>
      <c r="I484">
        <f ca="1" t="shared" si="83"/>
        <v>1457</v>
      </c>
      <c r="J484">
        <f ca="1" t="shared" si="84"/>
        <v>54</v>
      </c>
      <c r="K484">
        <f ca="1" t="shared" si="85"/>
        <v>24226</v>
      </c>
      <c r="L484">
        <f ca="1" t="shared" si="86"/>
        <v>4355</v>
      </c>
      <c r="M484">
        <f ca="1" t="shared" si="87"/>
        <v>0.023055588</v>
      </c>
    </row>
    <row r="485" spans="1:13">
      <c r="A485" t="str">
        <f ca="1">OFFSET($N$2,(ROW(485:485)-2)/35,0)</f>
        <v>江西省</v>
      </c>
      <c r="B485">
        <f ca="1">OFFSET($O$1,0,MOD(ROW(485:485)-2,35))</f>
        <v>2018</v>
      </c>
      <c r="C485">
        <f ca="1" t="shared" si="77"/>
        <v>0.32293464</v>
      </c>
      <c r="D485">
        <f ca="1" t="shared" si="78"/>
        <v>6</v>
      </c>
      <c r="E485">
        <f ca="1" t="shared" si="79"/>
        <v>0</v>
      </c>
      <c r="F485">
        <f ca="1" t="shared" si="80"/>
        <v>0.54290695228</v>
      </c>
      <c r="G485">
        <f ca="1" t="shared" si="81"/>
        <v>0.0799069473216</v>
      </c>
      <c r="H485">
        <f ca="1" t="shared" si="82"/>
        <v>0.779289726516</v>
      </c>
      <c r="I485">
        <f ca="1" t="shared" si="83"/>
        <v>1937</v>
      </c>
      <c r="J485">
        <f ca="1" t="shared" si="84"/>
        <v>249</v>
      </c>
      <c r="K485">
        <f ca="1" t="shared" si="85"/>
        <v>35786</v>
      </c>
      <c r="L485">
        <f ca="1" t="shared" si="86"/>
        <v>6396</v>
      </c>
      <c r="M485">
        <f ca="1" t="shared" si="87"/>
        <v>0.025278862284</v>
      </c>
    </row>
    <row r="486" spans="1:13">
      <c r="A486" t="str">
        <f ca="1">OFFSET($N$2,(ROW(486:486)-2)/35,0)</f>
        <v>江西省</v>
      </c>
      <c r="B486">
        <f ca="1">OFFSET($O$1,0,MOD(ROW(486:486)-2,35))</f>
        <v>2019</v>
      </c>
      <c r="C486">
        <f ca="1" t="shared" si="77"/>
        <v>0.34630596</v>
      </c>
      <c r="D486">
        <f ca="1" t="shared" si="78"/>
        <v>6</v>
      </c>
      <c r="E486">
        <f ca="1" t="shared" si="79"/>
        <v>0</v>
      </c>
      <c r="F486">
        <f ca="1" t="shared" si="80"/>
        <v>0.6066126066</v>
      </c>
      <c r="G486">
        <f ca="1" t="shared" si="81"/>
        <v>0.0709044137802</v>
      </c>
      <c r="H486">
        <f ca="1" t="shared" si="82"/>
        <v>0.728939415204</v>
      </c>
      <c r="I486">
        <f ca="1" t="shared" si="83"/>
        <v>1919</v>
      </c>
      <c r="J486">
        <f ca="1" t="shared" si="84"/>
        <v>228</v>
      </c>
      <c r="K486">
        <f ca="1" t="shared" si="85"/>
        <v>30027</v>
      </c>
      <c r="L486">
        <f ca="1" t="shared" si="86"/>
        <v>4588</v>
      </c>
      <c r="M486">
        <f ca="1" t="shared" si="87"/>
        <v>0.0277509807432</v>
      </c>
    </row>
    <row r="487" spans="1:13">
      <c r="A487" t="str">
        <f ca="1">OFFSET($N$2,(ROW(487:487)-2)/35,0)</f>
        <v>江西省</v>
      </c>
      <c r="B487">
        <f ca="1">OFFSET($O$1,0,MOD(ROW(487:487)-2,35))</f>
        <v>2020</v>
      </c>
      <c r="C487">
        <f ca="1" t="shared" si="77"/>
        <v>0.3632832</v>
      </c>
      <c r="D487">
        <f ca="1" t="shared" si="78"/>
        <v>6</v>
      </c>
      <c r="E487">
        <f ca="1" t="shared" si="79"/>
        <v>1</v>
      </c>
      <c r="F487">
        <f ca="1" t="shared" si="80"/>
        <v>0.71727845952</v>
      </c>
      <c r="G487">
        <f ca="1" t="shared" si="81"/>
        <v>0.07826936544</v>
      </c>
      <c r="H487">
        <f ca="1" t="shared" si="82"/>
        <v>0.90731795616</v>
      </c>
      <c r="I487">
        <f ca="1" t="shared" si="83"/>
        <v>2054</v>
      </c>
      <c r="J487">
        <f ca="1" t="shared" si="84"/>
        <v>341</v>
      </c>
      <c r="K487">
        <f ca="1" t="shared" si="85"/>
        <v>41589</v>
      </c>
      <c r="L487">
        <f ca="1" t="shared" si="86"/>
        <v>4904</v>
      </c>
      <c r="M487">
        <f ca="1" t="shared" si="87"/>
        <v>0.030865578624</v>
      </c>
    </row>
    <row r="488" spans="1:13">
      <c r="A488" t="str">
        <f ca="1">OFFSET($N$2,(ROW(488:488)-2)/35,0)</f>
        <v>江西省</v>
      </c>
      <c r="B488">
        <f ca="1">OFFSET($O$1,0,MOD(ROW(488:488)-2,35))</f>
        <v>2021</v>
      </c>
      <c r="C488">
        <f ca="1" t="shared" si="77"/>
        <v>0.35979468</v>
      </c>
      <c r="D488">
        <f ca="1" t="shared" si="78"/>
        <v>6</v>
      </c>
      <c r="E488">
        <f ca="1" t="shared" si="79"/>
        <v>1</v>
      </c>
      <c r="F488">
        <f ca="1" t="shared" si="80"/>
        <v>0.717922311316</v>
      </c>
      <c r="G488">
        <f ca="1" t="shared" si="81"/>
        <v>0.0855483810636</v>
      </c>
      <c r="H488">
        <f ca="1" t="shared" si="82"/>
        <v>0.797412949284</v>
      </c>
      <c r="I488">
        <f ca="1" t="shared" si="83"/>
        <v>1661</v>
      </c>
      <c r="J488">
        <f ca="1" t="shared" si="84"/>
        <v>277</v>
      </c>
      <c r="K488">
        <f ca="1" t="shared" si="85"/>
        <v>30538</v>
      </c>
      <c r="L488">
        <f ca="1" t="shared" si="86"/>
        <v>6645</v>
      </c>
      <c r="M488">
        <f ca="1" t="shared" si="87"/>
        <v>0.0294270928848</v>
      </c>
    </row>
    <row r="489" spans="1:13">
      <c r="A489" t="str">
        <f ca="1">OFFSET($N$2,(ROW(489:489)-2)/35,0)</f>
        <v>江西省</v>
      </c>
      <c r="B489">
        <f ca="1">OFFSET($O$1,0,MOD(ROW(489:489)-2,35))</f>
        <v>2022</v>
      </c>
      <c r="C489">
        <f ca="1" t="shared" si="77"/>
        <v>0.36327816</v>
      </c>
      <c r="D489">
        <f ca="1" t="shared" si="78"/>
        <v>6</v>
      </c>
      <c r="E489">
        <f ca="1" t="shared" si="79"/>
        <v>1</v>
      </c>
      <c r="F489">
        <f ca="1" t="shared" si="80"/>
        <v>0.715367352672</v>
      </c>
      <c r="G489">
        <f ca="1" t="shared" si="81"/>
        <v>0.089702459658</v>
      </c>
      <c r="H489">
        <f ca="1" t="shared" si="82"/>
        <v>0.864674676432</v>
      </c>
      <c r="I489">
        <f ca="1" t="shared" si="83"/>
        <v>1989</v>
      </c>
      <c r="J489">
        <f ca="1" t="shared" si="84"/>
        <v>264</v>
      </c>
      <c r="K489">
        <f ca="1" t="shared" si="85"/>
        <v>37902</v>
      </c>
      <c r="L489">
        <f ca="1" t="shared" si="86"/>
        <v>6564</v>
      </c>
      <c r="M489">
        <f ca="1" t="shared" si="87"/>
        <v>0.0297478105848</v>
      </c>
    </row>
    <row r="490" spans="1:13">
      <c r="A490" t="str">
        <f ca="1">OFFSET($N$2,(ROW(490:490)-2)/35,0)</f>
        <v>江西省</v>
      </c>
      <c r="B490">
        <f ca="1">OFFSET($O$1,0,MOD(ROW(490:490)-2,35))</f>
        <v>2023</v>
      </c>
      <c r="C490">
        <f ca="1" t="shared" si="77"/>
        <v>0.36687084</v>
      </c>
      <c r="D490">
        <f ca="1" t="shared" si="78"/>
        <v>7</v>
      </c>
      <c r="E490">
        <f ca="1" t="shared" si="79"/>
        <v>1</v>
      </c>
      <c r="F490">
        <f ca="1" t="shared" si="80"/>
        <v>0.68855542154</v>
      </c>
      <c r="G490">
        <f ca="1" t="shared" si="81"/>
        <v>0.0833824045152</v>
      </c>
      <c r="H490">
        <f ca="1" t="shared" si="82"/>
        <v>0.874510021308</v>
      </c>
      <c r="I490">
        <f ca="1" t="shared" si="83"/>
        <v>1872</v>
      </c>
      <c r="J490">
        <f ca="1" t="shared" si="84"/>
        <v>349</v>
      </c>
      <c r="K490">
        <f ca="1" t="shared" si="85"/>
        <v>31095</v>
      </c>
      <c r="L490">
        <f ca="1" t="shared" si="86"/>
        <v>5035</v>
      </c>
      <c r="M490">
        <f ca="1" t="shared" si="87"/>
        <v>0.0305870701332</v>
      </c>
    </row>
    <row r="491" spans="1:13">
      <c r="A491" t="str">
        <f ca="1">OFFSET($N$2,(ROW(491:491)-2)/35,0)</f>
        <v>江西省</v>
      </c>
      <c r="B491">
        <f ca="1">OFFSET($O$1,0,MOD(ROW(491:491)-2,35))</f>
        <v>2024</v>
      </c>
      <c r="C491">
        <f ca="1" t="shared" si="77"/>
        <v>0.3792096</v>
      </c>
      <c r="D491">
        <f ca="1" t="shared" si="78"/>
        <v>7</v>
      </c>
      <c r="E491">
        <f ca="1" t="shared" si="79"/>
        <v>1</v>
      </c>
      <c r="F491">
        <f ca="1" t="shared" si="80"/>
        <v>0.6851685456</v>
      </c>
      <c r="G491">
        <f ca="1" t="shared" si="81"/>
        <v>0.090212067792</v>
      </c>
      <c r="H491">
        <f ca="1" t="shared" si="82"/>
        <v>0.778801716</v>
      </c>
      <c r="I491">
        <f ca="1" t="shared" si="83"/>
        <v>1935</v>
      </c>
      <c r="J491">
        <f ca="1" t="shared" si="84"/>
        <v>349</v>
      </c>
      <c r="K491">
        <f ca="1" t="shared" si="85"/>
        <v>27396</v>
      </c>
      <c r="L491">
        <f ca="1" t="shared" si="86"/>
        <v>7335</v>
      </c>
      <c r="M491">
        <f ca="1" t="shared" si="87"/>
        <v>0.031860107136</v>
      </c>
    </row>
    <row r="492" spans="1:13">
      <c r="A492" t="str">
        <f ca="1">OFFSET($N$2,(ROW(492:492)-2)/35,0)</f>
        <v>山东省</v>
      </c>
      <c r="B492">
        <f ca="1">OFFSET($O$1,0,MOD(ROW(492:492)-2,35))</f>
        <v>1990</v>
      </c>
      <c r="C492">
        <f ca="1" t="shared" si="77"/>
        <v>0.113778</v>
      </c>
      <c r="D492">
        <f ca="1" t="shared" si="78"/>
        <v>3</v>
      </c>
      <c r="E492">
        <f ca="1" t="shared" si="79"/>
        <v>0</v>
      </c>
      <c r="F492">
        <f ca="1" t="shared" si="80"/>
        <v>0.2045652588</v>
      </c>
      <c r="G492">
        <f ca="1" t="shared" si="81"/>
        <v>0.02803888143</v>
      </c>
      <c r="H492">
        <f ca="1" t="shared" si="82"/>
        <v>0.2734142229</v>
      </c>
      <c r="I492">
        <f ca="1" t="shared" si="83"/>
        <v>618</v>
      </c>
      <c r="J492">
        <f ca="1" t="shared" si="84"/>
        <v>22</v>
      </c>
      <c r="K492">
        <f ca="1" t="shared" si="85"/>
        <v>9497</v>
      </c>
      <c r="L492">
        <f ca="1" t="shared" si="86"/>
        <v>1442</v>
      </c>
      <c r="M492">
        <f ca="1" t="shared" si="87"/>
        <v>0.00842672376</v>
      </c>
    </row>
    <row r="493" spans="1:13">
      <c r="A493" t="str">
        <f ca="1">OFFSET($N$2,(ROW(493:493)-2)/35,0)</f>
        <v>山东省</v>
      </c>
      <c r="B493">
        <f ca="1">OFFSET($O$1,0,MOD(ROW(493:493)-2,35))</f>
        <v>1991</v>
      </c>
      <c r="C493">
        <f ca="1" t="shared" si="77"/>
        <v>0.12246696</v>
      </c>
      <c r="D493">
        <f ca="1" t="shared" si="78"/>
        <v>3</v>
      </c>
      <c r="E493">
        <f ca="1" t="shared" si="79"/>
        <v>0</v>
      </c>
      <c r="F493">
        <f ca="1" t="shared" si="80"/>
        <v>0.218403494232</v>
      </c>
      <c r="G493">
        <f ca="1" t="shared" si="81"/>
        <v>0.0267578060904</v>
      </c>
      <c r="H493">
        <f ca="1" t="shared" si="82"/>
        <v>0.300558413232</v>
      </c>
      <c r="I493">
        <f ca="1" t="shared" si="83"/>
        <v>534</v>
      </c>
      <c r="J493">
        <f ca="1" t="shared" si="84"/>
        <v>20</v>
      </c>
      <c r="K493">
        <f ca="1" t="shared" si="85"/>
        <v>9024</v>
      </c>
      <c r="L493">
        <f ca="1" t="shared" si="86"/>
        <v>1625</v>
      </c>
      <c r="M493">
        <f ca="1" t="shared" si="87"/>
        <v>0.0101185701408</v>
      </c>
    </row>
    <row r="494" spans="1:13">
      <c r="A494" t="str">
        <f ca="1">OFFSET($N$2,(ROW(494:494)-2)/35,0)</f>
        <v>山东省</v>
      </c>
      <c r="B494">
        <f ca="1">OFFSET($O$1,0,MOD(ROW(494:494)-2,35))</f>
        <v>1992</v>
      </c>
      <c r="C494">
        <f ca="1" t="shared" si="77"/>
        <v>0.1339128</v>
      </c>
      <c r="D494">
        <f ca="1" t="shared" si="78"/>
        <v>3</v>
      </c>
      <c r="E494">
        <f ca="1" t="shared" si="79"/>
        <v>0</v>
      </c>
      <c r="F494">
        <f ca="1" t="shared" si="80"/>
        <v>0.22779460032</v>
      </c>
      <c r="G494">
        <f ca="1" t="shared" si="81"/>
        <v>0.031432012416</v>
      </c>
      <c r="H494">
        <f ca="1" t="shared" si="82"/>
        <v>0.30884978628</v>
      </c>
      <c r="I494">
        <f ca="1" t="shared" si="83"/>
        <v>795</v>
      </c>
      <c r="J494">
        <f ca="1" t="shared" si="84"/>
        <v>26</v>
      </c>
      <c r="K494">
        <f ca="1" t="shared" si="85"/>
        <v>14715</v>
      </c>
      <c r="L494">
        <f ca="1" t="shared" si="86"/>
        <v>1461</v>
      </c>
      <c r="M494">
        <f ca="1" t="shared" si="87"/>
        <v>0.010855736784</v>
      </c>
    </row>
    <row r="495" spans="1:13">
      <c r="A495" t="str">
        <f ca="1">OFFSET($N$2,(ROW(495:495)-2)/35,0)</f>
        <v>山东省</v>
      </c>
      <c r="B495">
        <f ca="1">OFFSET($O$1,0,MOD(ROW(495:495)-2,35))</f>
        <v>1993</v>
      </c>
      <c r="C495">
        <f ca="1" t="shared" si="77"/>
        <v>0.14473368</v>
      </c>
      <c r="D495">
        <f ca="1" t="shared" si="78"/>
        <v>3</v>
      </c>
      <c r="E495">
        <f ca="1" t="shared" si="79"/>
        <v>0</v>
      </c>
      <c r="F495">
        <f ca="1" t="shared" si="80"/>
        <v>0.282008751024</v>
      </c>
      <c r="G495">
        <f ca="1" t="shared" si="81"/>
        <v>0.0337670912124</v>
      </c>
      <c r="H495">
        <f ca="1" t="shared" si="82"/>
        <v>0.335992001436</v>
      </c>
      <c r="I495">
        <f ca="1" t="shared" si="83"/>
        <v>797</v>
      </c>
      <c r="J495">
        <f ca="1" t="shared" si="84"/>
        <v>24</v>
      </c>
      <c r="K495">
        <f ca="1" t="shared" si="85"/>
        <v>13920</v>
      </c>
      <c r="L495">
        <f ca="1" t="shared" si="86"/>
        <v>2767</v>
      </c>
      <c r="M495">
        <f ca="1" t="shared" si="87"/>
        <v>0.0120050384688</v>
      </c>
    </row>
    <row r="496" spans="1:13">
      <c r="A496" t="str">
        <f ca="1">OFFSET($N$2,(ROW(496:496)-2)/35,0)</f>
        <v>山东省</v>
      </c>
      <c r="B496">
        <f ca="1">OFFSET($O$1,0,MOD(ROW(496:496)-2,35))</f>
        <v>1994</v>
      </c>
      <c r="C496">
        <f ca="1" t="shared" si="77"/>
        <v>0.15725472</v>
      </c>
      <c r="D496">
        <f ca="1" t="shared" si="78"/>
        <v>3</v>
      </c>
      <c r="E496">
        <f ca="1" t="shared" si="79"/>
        <v>0</v>
      </c>
      <c r="F496">
        <f ca="1" t="shared" si="80"/>
        <v>0.305797528512</v>
      </c>
      <c r="G496">
        <f ca="1" t="shared" si="81"/>
        <v>0.033487392624</v>
      </c>
      <c r="H496">
        <f ca="1" t="shared" si="82"/>
        <v>0.353296316688</v>
      </c>
      <c r="I496">
        <f ca="1" t="shared" si="83"/>
        <v>816</v>
      </c>
      <c r="J496">
        <f ca="1" t="shared" si="84"/>
        <v>29</v>
      </c>
      <c r="K496">
        <f ca="1" t="shared" si="85"/>
        <v>18497</v>
      </c>
      <c r="L496">
        <f ca="1" t="shared" si="86"/>
        <v>3023</v>
      </c>
      <c r="M496">
        <f ca="1" t="shared" si="87"/>
        <v>0.013328460768</v>
      </c>
    </row>
    <row r="497" spans="1:13">
      <c r="A497" t="str">
        <f ca="1">OFFSET($N$2,(ROW(497:497)-2)/35,0)</f>
        <v>山东省</v>
      </c>
      <c r="B497">
        <f ca="1">OFFSET($O$1,0,MOD(ROW(497:497)-2,35))</f>
        <v>1995</v>
      </c>
      <c r="C497">
        <f ca="1" t="shared" si="77"/>
        <v>0.175392</v>
      </c>
      <c r="D497">
        <f ca="1" t="shared" si="78"/>
        <v>3</v>
      </c>
      <c r="E497">
        <f ca="1" t="shared" si="79"/>
        <v>0</v>
      </c>
      <c r="F497">
        <f ca="1" t="shared" si="80"/>
        <v>0.337863456</v>
      </c>
      <c r="G497">
        <f ca="1" t="shared" si="81"/>
        <v>0.03702349728</v>
      </c>
      <c r="H497">
        <f ca="1" t="shared" si="82"/>
        <v>0.4102068096</v>
      </c>
      <c r="I497">
        <f ca="1" t="shared" si="83"/>
        <v>729</v>
      </c>
      <c r="J497">
        <f ca="1" t="shared" si="84"/>
        <v>22</v>
      </c>
      <c r="K497">
        <f ca="1" t="shared" si="85"/>
        <v>11377</v>
      </c>
      <c r="L497">
        <f ca="1" t="shared" si="86"/>
        <v>2338</v>
      </c>
      <c r="M497">
        <f ca="1" t="shared" si="87"/>
        <v>0.0141954768</v>
      </c>
    </row>
    <row r="498" spans="1:13">
      <c r="A498" t="str">
        <f ca="1">OFFSET($N$2,(ROW(498:498)-2)/35,0)</f>
        <v>山东省</v>
      </c>
      <c r="B498">
        <f ca="1">OFFSET($O$1,0,MOD(ROW(498:498)-2,35))</f>
        <v>1996</v>
      </c>
      <c r="C498">
        <f ca="1" t="shared" si="77"/>
        <v>0.17719296</v>
      </c>
      <c r="D498">
        <f ca="1" t="shared" si="78"/>
        <v>3</v>
      </c>
      <c r="E498">
        <f ca="1" t="shared" si="79"/>
        <v>0</v>
      </c>
      <c r="F498">
        <f ca="1" t="shared" si="80"/>
        <v>0.34986749952</v>
      </c>
      <c r="G498">
        <f ca="1" t="shared" si="81"/>
        <v>0.0384827670528</v>
      </c>
      <c r="H498">
        <f ca="1" t="shared" si="82"/>
        <v>0.392588722176</v>
      </c>
      <c r="I498">
        <f ca="1" t="shared" si="83"/>
        <v>1026</v>
      </c>
      <c r="J498">
        <f ca="1" t="shared" si="84"/>
        <v>24</v>
      </c>
      <c r="K498">
        <f ca="1" t="shared" si="85"/>
        <v>17324</v>
      </c>
      <c r="L498">
        <f ca="1" t="shared" si="86"/>
        <v>2125</v>
      </c>
      <c r="M498">
        <f ca="1" t="shared" si="87"/>
        <v>0.012671827968</v>
      </c>
    </row>
    <row r="499" spans="1:13">
      <c r="A499" t="str">
        <f ca="1">OFFSET($N$2,(ROW(499:499)-2)/35,0)</f>
        <v>山东省</v>
      </c>
      <c r="B499">
        <f ca="1">OFFSET($O$1,0,MOD(ROW(499:499)-2,35))</f>
        <v>1997</v>
      </c>
      <c r="C499">
        <f ca="1" t="shared" si="77"/>
        <v>0.19555032</v>
      </c>
      <c r="D499">
        <f ca="1" t="shared" si="78"/>
        <v>3</v>
      </c>
      <c r="E499">
        <f ca="1" t="shared" si="79"/>
        <v>0</v>
      </c>
      <c r="F499">
        <f ca="1" t="shared" si="80"/>
        <v>0.366024570632</v>
      </c>
      <c r="G499">
        <f ca="1" t="shared" si="81"/>
        <v>0.0397074702276</v>
      </c>
      <c r="H499">
        <f ca="1" t="shared" si="82"/>
        <v>0.482500859568</v>
      </c>
      <c r="I499">
        <f ca="1" t="shared" si="83"/>
        <v>803</v>
      </c>
      <c r="J499">
        <f ca="1" t="shared" si="84"/>
        <v>20</v>
      </c>
      <c r="K499">
        <f ca="1" t="shared" si="85"/>
        <v>13846</v>
      </c>
      <c r="L499">
        <f ca="1" t="shared" si="86"/>
        <v>2295</v>
      </c>
      <c r="M499">
        <f ca="1" t="shared" si="87"/>
        <v>0.0146115199104</v>
      </c>
    </row>
    <row r="500" spans="1:13">
      <c r="A500" t="str">
        <f ca="1">OFFSET($N$2,(ROW(500:500)-2)/35,0)</f>
        <v>山东省</v>
      </c>
      <c r="B500">
        <f ca="1">OFFSET($O$1,0,MOD(ROW(500:500)-2,35))</f>
        <v>1998</v>
      </c>
      <c r="C500">
        <f ca="1" t="shared" si="77"/>
        <v>0.20567736</v>
      </c>
      <c r="D500">
        <f ca="1" t="shared" si="78"/>
        <v>3</v>
      </c>
      <c r="E500">
        <f ca="1" t="shared" si="79"/>
        <v>0</v>
      </c>
      <c r="F500">
        <f ca="1" t="shared" si="80"/>
        <v>0.380633378328</v>
      </c>
      <c r="G500">
        <f ca="1" t="shared" si="81"/>
        <v>0.0448880554332</v>
      </c>
      <c r="H500">
        <f ca="1" t="shared" si="82"/>
        <v>0.432086997888</v>
      </c>
      <c r="I500">
        <f ca="1" t="shared" si="83"/>
        <v>1210</v>
      </c>
      <c r="J500">
        <f ca="1" t="shared" si="84"/>
        <v>37</v>
      </c>
      <c r="K500">
        <f ca="1" t="shared" si="85"/>
        <v>13798</v>
      </c>
      <c r="L500">
        <f ca="1" t="shared" si="86"/>
        <v>3021</v>
      </c>
      <c r="M500">
        <f ca="1" t="shared" si="87"/>
        <v>0.0170788603248</v>
      </c>
    </row>
    <row r="501" spans="1:13">
      <c r="A501" t="str">
        <f ca="1">OFFSET($N$2,(ROW(501:501)-2)/35,0)</f>
        <v>山东省</v>
      </c>
      <c r="B501">
        <f ca="1">OFFSET($O$1,0,MOD(ROW(501:501)-2,35))</f>
        <v>1999</v>
      </c>
      <c r="C501">
        <f ca="1" t="shared" si="77"/>
        <v>0.2196096</v>
      </c>
      <c r="D501">
        <f ca="1" t="shared" si="78"/>
        <v>3</v>
      </c>
      <c r="E501">
        <f ca="1" t="shared" si="79"/>
        <v>0</v>
      </c>
      <c r="F501">
        <f ca="1" t="shared" si="80"/>
        <v>0.39951378432</v>
      </c>
      <c r="G501">
        <f ca="1" t="shared" si="81"/>
        <v>0.049661416896</v>
      </c>
      <c r="H501">
        <f ca="1" t="shared" si="82"/>
        <v>0.44232667584</v>
      </c>
      <c r="I501">
        <f ca="1" t="shared" si="83"/>
        <v>1252</v>
      </c>
      <c r="J501">
        <f ca="1" t="shared" si="84"/>
        <v>37</v>
      </c>
      <c r="K501">
        <f ca="1" t="shared" si="85"/>
        <v>22272</v>
      </c>
      <c r="L501">
        <f ca="1" t="shared" si="86"/>
        <v>3103</v>
      </c>
      <c r="M501">
        <f ca="1" t="shared" si="87"/>
        <v>0.017227118208</v>
      </c>
    </row>
    <row r="502" spans="1:13">
      <c r="A502" t="str">
        <f ca="1">OFFSET($N$2,(ROW(502:502)-2)/35,0)</f>
        <v>山东省</v>
      </c>
      <c r="B502">
        <f ca="1">OFFSET($O$1,0,MOD(ROW(502:502)-2,35))</f>
        <v>2000</v>
      </c>
      <c r="C502">
        <f ca="1" t="shared" si="77"/>
        <v>0.2264136</v>
      </c>
      <c r="D502">
        <f ca="1" t="shared" si="78"/>
        <v>3</v>
      </c>
      <c r="E502">
        <f ca="1" t="shared" si="79"/>
        <v>0</v>
      </c>
      <c r="F502">
        <f ca="1" t="shared" si="80"/>
        <v>0.44826873952</v>
      </c>
      <c r="G502">
        <f ca="1" t="shared" si="81"/>
        <v>0.047440441608</v>
      </c>
      <c r="H502">
        <f ca="1" t="shared" si="82"/>
        <v>0.46865351064</v>
      </c>
      <c r="I502">
        <f ca="1" t="shared" si="83"/>
        <v>975</v>
      </c>
      <c r="J502">
        <f ca="1" t="shared" si="84"/>
        <v>40</v>
      </c>
      <c r="K502">
        <f ca="1" t="shared" si="85"/>
        <v>16852</v>
      </c>
      <c r="L502">
        <f ca="1" t="shared" si="86"/>
        <v>3434</v>
      </c>
      <c r="M502">
        <f ca="1" t="shared" si="87"/>
        <v>0.016499405928</v>
      </c>
    </row>
    <row r="503" spans="1:13">
      <c r="A503" t="str">
        <f ca="1">OFFSET($N$2,(ROW(503:503)-2)/35,0)</f>
        <v>山东省</v>
      </c>
      <c r="B503">
        <f ca="1">OFFSET($O$1,0,MOD(ROW(503:503)-2,35))</f>
        <v>2001</v>
      </c>
      <c r="C503">
        <f ca="1" t="shared" si="77"/>
        <v>0.24583104</v>
      </c>
      <c r="D503">
        <f ca="1" t="shared" si="78"/>
        <v>3</v>
      </c>
      <c r="E503">
        <f ca="1" t="shared" si="79"/>
        <v>0</v>
      </c>
      <c r="F503">
        <f ca="1" t="shared" si="80"/>
        <v>0.419559835968</v>
      </c>
      <c r="G503">
        <f ca="1" t="shared" si="81"/>
        <v>0.0529421727744</v>
      </c>
      <c r="H503">
        <f ca="1" t="shared" si="82"/>
        <v>0.502159065408</v>
      </c>
      <c r="I503">
        <f ca="1" t="shared" si="83"/>
        <v>1438</v>
      </c>
      <c r="J503">
        <f ca="1" t="shared" si="84"/>
        <v>42</v>
      </c>
      <c r="K503">
        <f ca="1" t="shared" si="85"/>
        <v>22579</v>
      </c>
      <c r="L503">
        <f ca="1" t="shared" si="86"/>
        <v>3101</v>
      </c>
      <c r="M503">
        <f ca="1" t="shared" si="87"/>
        <v>0.0197939641536</v>
      </c>
    </row>
    <row r="504" spans="1:13">
      <c r="A504" t="str">
        <f ca="1">OFFSET($N$2,(ROW(504:504)-2)/35,0)</f>
        <v>山东省</v>
      </c>
      <c r="B504">
        <f ca="1">OFFSET($O$1,0,MOD(ROW(504:504)-2,35))</f>
        <v>2002</v>
      </c>
      <c r="C504">
        <f ca="1" t="shared" si="77"/>
        <v>0.25337928</v>
      </c>
      <c r="D504">
        <f ca="1" t="shared" si="78"/>
        <v>3</v>
      </c>
      <c r="E504">
        <f ca="1" t="shared" si="79"/>
        <v>0</v>
      </c>
      <c r="F504">
        <f ca="1" t="shared" si="80"/>
        <v>0.464089489248</v>
      </c>
      <c r="G504">
        <f ca="1" t="shared" si="81"/>
        <v>0.0569507938692</v>
      </c>
      <c r="H504">
        <f ca="1" t="shared" si="82"/>
        <v>0.622324849608</v>
      </c>
      <c r="I504">
        <f ca="1" t="shared" si="83"/>
        <v>1069</v>
      </c>
      <c r="J504">
        <f ca="1" t="shared" si="84"/>
        <v>48</v>
      </c>
      <c r="K504">
        <f ca="1" t="shared" si="85"/>
        <v>18149</v>
      </c>
      <c r="L504">
        <f ca="1" t="shared" si="86"/>
        <v>2702</v>
      </c>
      <c r="M504">
        <f ca="1" t="shared" si="87"/>
        <v>0.0209305764096</v>
      </c>
    </row>
    <row r="505" spans="1:13">
      <c r="A505" t="str">
        <f ca="1">OFFSET($N$2,(ROW(505:505)-2)/35,0)</f>
        <v>山东省</v>
      </c>
      <c r="B505">
        <f ca="1">OFFSET($O$1,0,MOD(ROW(505:505)-2,35))</f>
        <v>2003</v>
      </c>
      <c r="C505">
        <f ca="1" t="shared" si="77"/>
        <v>0.26027904</v>
      </c>
      <c r="D505">
        <f ca="1" t="shared" si="78"/>
        <v>3</v>
      </c>
      <c r="E505">
        <f ca="1" t="shared" si="79"/>
        <v>1</v>
      </c>
      <c r="F505">
        <f ca="1" t="shared" si="80"/>
        <v>0.512801764608</v>
      </c>
      <c r="G505">
        <f ca="1" t="shared" si="81"/>
        <v>0.0580083896448</v>
      </c>
      <c r="H505">
        <f ca="1" t="shared" si="82"/>
        <v>0.604550126208</v>
      </c>
      <c r="I505">
        <f ca="1" t="shared" si="83"/>
        <v>1381</v>
      </c>
      <c r="J505">
        <f ca="1" t="shared" si="84"/>
        <v>31</v>
      </c>
      <c r="K505">
        <f ca="1" t="shared" si="85"/>
        <v>20214</v>
      </c>
      <c r="L505">
        <f ca="1" t="shared" si="86"/>
        <v>3833</v>
      </c>
      <c r="M505">
        <f ca="1" t="shared" si="87"/>
        <v>0.0196347071232</v>
      </c>
    </row>
    <row r="506" spans="1:13">
      <c r="A506" t="str">
        <f ca="1">OFFSET($N$2,(ROW(506:506)-2)/35,0)</f>
        <v>山东省</v>
      </c>
      <c r="B506">
        <f ca="1">OFFSET($O$1,0,MOD(ROW(506:506)-2,35))</f>
        <v>2004</v>
      </c>
      <c r="C506">
        <f ca="1" t="shared" si="77"/>
        <v>0.27459936</v>
      </c>
      <c r="D506">
        <f ca="1" t="shared" si="78"/>
        <v>4</v>
      </c>
      <c r="E506">
        <f ca="1" t="shared" si="79"/>
        <v>1</v>
      </c>
      <c r="F506">
        <f ca="1" t="shared" si="80"/>
        <v>0.512191879584</v>
      </c>
      <c r="G506">
        <f ca="1" t="shared" si="81"/>
        <v>0.060967922904</v>
      </c>
      <c r="H506">
        <f ca="1" t="shared" si="82"/>
        <v>0.59031997416</v>
      </c>
      <c r="I506">
        <f ca="1" t="shared" si="83"/>
        <v>1156</v>
      </c>
      <c r="J506">
        <f ca="1" t="shared" si="84"/>
        <v>41</v>
      </c>
      <c r="K506">
        <f ca="1" t="shared" si="85"/>
        <v>31837</v>
      </c>
      <c r="L506">
        <f ca="1" t="shared" si="86"/>
        <v>3819</v>
      </c>
      <c r="M506">
        <f ca="1" t="shared" si="87"/>
        <v>0.022322966544</v>
      </c>
    </row>
    <row r="507" spans="1:13">
      <c r="A507" t="str">
        <f ca="1">OFFSET($N$2,(ROW(507:507)-2)/35,0)</f>
        <v>山东省</v>
      </c>
      <c r="B507">
        <f ca="1">OFFSET($O$1,0,MOD(ROW(507:507)-2,35))</f>
        <v>2005</v>
      </c>
      <c r="C507">
        <f ca="1" t="shared" si="77"/>
        <v>0.288687</v>
      </c>
      <c r="D507">
        <f ca="1" t="shared" si="78"/>
        <v>4</v>
      </c>
      <c r="E507">
        <f ca="1" t="shared" si="79"/>
        <v>1</v>
      </c>
      <c r="F507">
        <f ca="1" t="shared" si="80"/>
        <v>0.530125561</v>
      </c>
      <c r="G507">
        <f ca="1" t="shared" si="81"/>
        <v>0.060446727495</v>
      </c>
      <c r="H507">
        <f ca="1" t="shared" si="82"/>
        <v>0.59271771405</v>
      </c>
      <c r="I507">
        <f ca="1" t="shared" si="83"/>
        <v>1176</v>
      </c>
      <c r="J507">
        <f ca="1" t="shared" si="84"/>
        <v>50</v>
      </c>
      <c r="K507">
        <f ca="1" t="shared" si="85"/>
        <v>34514</v>
      </c>
      <c r="L507">
        <f ca="1" t="shared" si="86"/>
        <v>4878</v>
      </c>
      <c r="M507">
        <f ca="1" t="shared" si="87"/>
        <v>0.02330487669</v>
      </c>
    </row>
    <row r="508" spans="1:13">
      <c r="A508" t="str">
        <f ca="1">OFFSET($N$2,(ROW(508:508)-2)/35,0)</f>
        <v>山东省</v>
      </c>
      <c r="B508">
        <f ca="1">OFFSET($O$1,0,MOD(ROW(508:508)-2,35))</f>
        <v>2006</v>
      </c>
      <c r="C508">
        <f ca="1" t="shared" si="77"/>
        <v>0.29197896</v>
      </c>
      <c r="D508">
        <f ca="1" t="shared" si="78"/>
        <v>4</v>
      </c>
      <c r="E508">
        <f ca="1" t="shared" si="79"/>
        <v>1</v>
      </c>
      <c r="F508">
        <f ca="1" t="shared" si="80"/>
        <v>0.526768974368</v>
      </c>
      <c r="G508">
        <f ca="1" t="shared" si="81"/>
        <v>0.0678982472532</v>
      </c>
      <c r="H508">
        <f ca="1" t="shared" si="82"/>
        <v>0.722604129156</v>
      </c>
      <c r="I508">
        <f ca="1" t="shared" si="83"/>
        <v>1287</v>
      </c>
      <c r="J508">
        <f ca="1" t="shared" si="84"/>
        <v>51</v>
      </c>
      <c r="K508">
        <f ca="1" t="shared" si="85"/>
        <v>18456</v>
      </c>
      <c r="L508">
        <f ca="1" t="shared" si="86"/>
        <v>3968</v>
      </c>
      <c r="M508">
        <f ca="1" t="shared" si="87"/>
        <v>0.0243034944048</v>
      </c>
    </row>
    <row r="509" spans="1:13">
      <c r="A509" t="str">
        <f ca="1">OFFSET($N$2,(ROW(509:509)-2)/35,0)</f>
        <v>山东省</v>
      </c>
      <c r="B509">
        <f ca="1">OFFSET($O$1,0,MOD(ROW(509:509)-2,35))</f>
        <v>2007</v>
      </c>
      <c r="C509">
        <f ca="1" t="shared" si="77"/>
        <v>0.29588328</v>
      </c>
      <c r="D509">
        <f ca="1" t="shared" si="78"/>
        <v>4</v>
      </c>
      <c r="E509">
        <f ca="1" t="shared" si="79"/>
        <v>1</v>
      </c>
      <c r="F509">
        <f ca="1" t="shared" si="80"/>
        <v>0.506325331512</v>
      </c>
      <c r="G509">
        <f ca="1" t="shared" si="81"/>
        <v>0.06220945962</v>
      </c>
      <c r="H509">
        <f ca="1" t="shared" si="82"/>
        <v>0.631592449488</v>
      </c>
      <c r="I509">
        <f ca="1" t="shared" si="83"/>
        <v>1233</v>
      </c>
      <c r="J509">
        <f ca="1" t="shared" si="84"/>
        <v>43</v>
      </c>
      <c r="K509">
        <f ca="1" t="shared" si="85"/>
        <v>24945</v>
      </c>
      <c r="L509">
        <f ca="1" t="shared" si="86"/>
        <v>4634</v>
      </c>
      <c r="M509">
        <f ca="1" t="shared" si="87"/>
        <v>0.0214988791248</v>
      </c>
    </row>
    <row r="510" spans="1:13">
      <c r="A510" t="str">
        <f ca="1">OFFSET($N$2,(ROW(510:510)-2)/35,0)</f>
        <v>山东省</v>
      </c>
      <c r="B510">
        <f ca="1">OFFSET($O$1,0,MOD(ROW(510:510)-2,35))</f>
        <v>2008</v>
      </c>
      <c r="C510">
        <f ca="1" t="shared" si="77"/>
        <v>0.3154032</v>
      </c>
      <c r="D510">
        <f ca="1" t="shared" si="78"/>
        <v>5</v>
      </c>
      <c r="E510">
        <f ca="1" t="shared" si="79"/>
        <v>1</v>
      </c>
      <c r="F510">
        <f ca="1" t="shared" si="80"/>
        <v>0.5710374936</v>
      </c>
      <c r="G510">
        <f ca="1" t="shared" si="81"/>
        <v>0.070177212</v>
      </c>
      <c r="H510">
        <f ca="1" t="shared" si="82"/>
        <v>0.63870725016</v>
      </c>
      <c r="I510">
        <f ca="1" t="shared" si="83"/>
        <v>1289</v>
      </c>
      <c r="J510">
        <f ca="1" t="shared" si="84"/>
        <v>53</v>
      </c>
      <c r="K510">
        <f ca="1" t="shared" si="85"/>
        <v>25673</v>
      </c>
      <c r="L510">
        <f ca="1" t="shared" si="86"/>
        <v>5805</v>
      </c>
      <c r="M510">
        <f ca="1" t="shared" si="87"/>
        <v>0.022801849056</v>
      </c>
    </row>
    <row r="511" spans="1:13">
      <c r="A511" t="str">
        <f ca="1">OFFSET($N$2,(ROW(511:511)-2)/35,0)</f>
        <v>山东省</v>
      </c>
      <c r="B511">
        <f ca="1">OFFSET($O$1,0,MOD(ROW(511:511)-2,35))</f>
        <v>2009</v>
      </c>
      <c r="C511">
        <f ca="1" t="shared" si="77"/>
        <v>0.32493804</v>
      </c>
      <c r="D511">
        <f ca="1" t="shared" si="78"/>
        <v>6</v>
      </c>
      <c r="E511">
        <f ca="1" t="shared" si="79"/>
        <v>1</v>
      </c>
      <c r="F511">
        <f ca="1" t="shared" si="80"/>
        <v>0.595979690432</v>
      </c>
      <c r="G511">
        <f ca="1" t="shared" si="81"/>
        <v>0.076669130538</v>
      </c>
      <c r="H511">
        <f ca="1" t="shared" si="82"/>
        <v>0.800826046482</v>
      </c>
      <c r="I511">
        <f ca="1" t="shared" si="83"/>
        <v>1697</v>
      </c>
      <c r="J511">
        <f ca="1" t="shared" si="84"/>
        <v>39</v>
      </c>
      <c r="K511">
        <f ca="1" t="shared" si="85"/>
        <v>20095</v>
      </c>
      <c r="L511">
        <f ca="1" t="shared" si="86"/>
        <v>6247</v>
      </c>
      <c r="M511">
        <f ca="1" t="shared" si="87"/>
        <v>0.0237636472596</v>
      </c>
    </row>
    <row r="512" spans="1:13">
      <c r="A512" t="str">
        <f ca="1">OFFSET($N$2,(ROW(512:512)-2)/35,0)</f>
        <v>山东省</v>
      </c>
      <c r="B512">
        <f ca="1">OFFSET($O$1,0,MOD(ROW(512:512)-2,35))</f>
        <v>2010</v>
      </c>
      <c r="C512">
        <f ca="1" t="shared" si="77"/>
        <v>0.3459204</v>
      </c>
      <c r="D512">
        <f ca="1" t="shared" si="78"/>
        <v>6</v>
      </c>
      <c r="E512">
        <f ca="1" t="shared" si="79"/>
        <v>1</v>
      </c>
      <c r="F512">
        <f ca="1" t="shared" si="80"/>
        <v>0.65064168036</v>
      </c>
      <c r="G512">
        <f ca="1" t="shared" si="81"/>
        <v>0.079928367624</v>
      </c>
      <c r="H512">
        <f ca="1" t="shared" si="82"/>
        <v>0.8534721069</v>
      </c>
      <c r="I512">
        <f ca="1" t="shared" si="83"/>
        <v>1482</v>
      </c>
      <c r="J512">
        <f ca="1" t="shared" si="84"/>
        <v>65</v>
      </c>
      <c r="K512">
        <f ca="1" t="shared" si="85"/>
        <v>22459</v>
      </c>
      <c r="L512">
        <f ca="1" t="shared" si="86"/>
        <v>6014</v>
      </c>
      <c r="M512">
        <f ca="1" t="shared" si="87"/>
        <v>0.025846678116</v>
      </c>
    </row>
    <row r="513" spans="1:13">
      <c r="A513" t="str">
        <f ca="1">OFFSET($N$2,(ROW(513:513)-2)/35,0)</f>
        <v>山东省</v>
      </c>
      <c r="B513">
        <f ca="1">OFFSET($O$1,0,MOD(ROW(513:513)-2,35))</f>
        <v>2011</v>
      </c>
      <c r="C513">
        <f ca="1" t="shared" si="77"/>
        <v>0.35109732</v>
      </c>
      <c r="D513">
        <f ca="1" t="shared" si="78"/>
        <v>6</v>
      </c>
      <c r="E513">
        <f ca="1" t="shared" si="79"/>
        <v>1</v>
      </c>
      <c r="F513">
        <f ca="1" t="shared" si="80"/>
        <v>0.67521866258</v>
      </c>
      <c r="G513">
        <f ca="1" t="shared" si="81"/>
        <v>0.0744115660008</v>
      </c>
      <c r="H513">
        <f ca="1" t="shared" si="82"/>
        <v>0.808419134166</v>
      </c>
      <c r="I513">
        <f ca="1" t="shared" si="83"/>
        <v>1747</v>
      </c>
      <c r="J513">
        <f ca="1" t="shared" si="84"/>
        <v>61</v>
      </c>
      <c r="K513">
        <f ca="1" t="shared" si="85"/>
        <v>34099</v>
      </c>
      <c r="L513">
        <f ca="1" t="shared" si="86"/>
        <v>5841</v>
      </c>
      <c r="M513">
        <f ca="1" t="shared" si="87"/>
        <v>0.0299796985872</v>
      </c>
    </row>
    <row r="514" spans="1:13">
      <c r="A514" t="str">
        <f ca="1">OFFSET($N$2,(ROW(514:514)-2)/35,0)</f>
        <v>山东省</v>
      </c>
      <c r="B514">
        <f ca="1">OFFSET($O$1,0,MOD(ROW(514:514)-2,35))</f>
        <v>2012</v>
      </c>
      <c r="C514">
        <f ca="1" t="shared" si="77"/>
        <v>0.35188608</v>
      </c>
      <c r="D514">
        <f ca="1" t="shared" si="78"/>
        <v>6</v>
      </c>
      <c r="E514">
        <f ca="1" t="shared" si="79"/>
        <v>1</v>
      </c>
      <c r="F514">
        <f ca="1" t="shared" si="80"/>
        <v>0.69972547008</v>
      </c>
      <c r="G514">
        <f ca="1" t="shared" si="81"/>
        <v>0.086062538016</v>
      </c>
      <c r="H514">
        <f ca="1" t="shared" si="82"/>
        <v>0.778741489344</v>
      </c>
      <c r="I514">
        <f ca="1" t="shared" si="83"/>
        <v>2069</v>
      </c>
      <c r="J514">
        <f ca="1" t="shared" si="84"/>
        <v>67</v>
      </c>
      <c r="K514">
        <f ca="1" t="shared" si="85"/>
        <v>21288</v>
      </c>
      <c r="L514">
        <f ca="1" t="shared" si="86"/>
        <v>5346</v>
      </c>
      <c r="M514">
        <f ca="1" t="shared" si="87"/>
        <v>0.0264935029632</v>
      </c>
    </row>
    <row r="515" spans="1:13">
      <c r="A515" t="str">
        <f ca="1">OFFSET($N$2,(ROW(515:515)-2)/35,0)</f>
        <v>山东省</v>
      </c>
      <c r="B515">
        <f ca="1">OFFSET($O$1,0,MOD(ROW(515:515)-2,35))</f>
        <v>2013</v>
      </c>
      <c r="C515">
        <f ca="1" t="shared" ref="C515:C578" si="88">IF(OR(A515="北京市",A515="上海市",A515="广东省"),(B515-1980)*RANDBETWEEN(15000,16000)/500000,IF(OR(A515="西藏自治区",A515="新疆维吾尔自治区",A515="青海省",A515="广西壮族自治区",A515="内蒙古自治区",A515="宁夏回族自治区",A515="贵州省",A515="甘肃省",A515="陕西省",A515="云南省"),(B515-1980)*RANDBETWEEN(7000,8000)/500000,IF(OR(A515="浙江省",A515="江苏省",A515="山东省",A515="辽宁省"),(B515-1980)*RANDBETWEEN(13000,14000)/500000,(B515-1980)*RANDBETWEEN(10000,11000)/500000)))*0.42</f>
        <v>0.36579312</v>
      </c>
      <c r="D515">
        <f ca="1" t="shared" ref="D515:D578" si="89">IF($B515=1990,ROUND($C515*RANDBETWEEN(10000,20000)/500,0),ROUND(D514+RANDBETWEEN(0,5)/10,0))</f>
        <v>6</v>
      </c>
      <c r="E515">
        <f ca="1" t="shared" ref="E515:E578" si="90">IF($B515=1990,ROUND($C515*RANDBETWEEN(10000,20000)/5000,0),ROUND(E514+RANDBETWEEN(0,20)/40,0))</f>
        <v>1</v>
      </c>
      <c r="F515">
        <f ca="1" t="shared" ref="F515:F578" si="91">$C515*RANDBETWEEN(50000,60000)/30000</f>
        <v>0.67750982376</v>
      </c>
      <c r="G515">
        <f ca="1" t="shared" ref="G515:G578" si="92">$C515*RANDBETWEEN(40000,50000)/200000</f>
        <v>0.08042876226</v>
      </c>
      <c r="H515">
        <f ca="1" t="shared" ref="H515:H578" si="93">$C515*RANDBETWEEN(40000,50000)/20000</f>
        <v>0.857565390528</v>
      </c>
      <c r="I515">
        <f ca="1" t="shared" ref="I515:I578" si="94">ROUND($C515*RANDBETWEEN(20000,30000)/5,0)</f>
        <v>1985</v>
      </c>
      <c r="J515">
        <f ca="1" t="shared" ref="J515:J578" si="95">IF(B515&lt;2015,ROUND($C515*RANDBETWEEN(10000,20000)/100,0),IF(B515&lt;2018,ROUND($C515*RANDBETWEEN(10000,20000)/70,0),ROUND($C515*RANDBETWEEN(10000,20000)/20,0)))</f>
        <v>42</v>
      </c>
      <c r="K515">
        <f ca="1" t="shared" ref="K515:K578" si="96">ROUND($C515*RANDBETWEEN(10000,20000)*6,0)</f>
        <v>38259</v>
      </c>
      <c r="L515">
        <f ca="1" t="shared" ref="L515:L578" si="97">ROUND($C515*RANDBETWEEN(10000,20000)*1,0)</f>
        <v>5691</v>
      </c>
      <c r="M515">
        <f ca="1" t="shared" ref="M515:M578" si="98">$C515*RANDBETWEEN(50000,60000)/700000</f>
        <v>0.0294677711856</v>
      </c>
    </row>
    <row r="516" spans="1:13">
      <c r="A516" t="str">
        <f ca="1">OFFSET($N$2,(ROW(516:516)-2)/35,0)</f>
        <v>山东省</v>
      </c>
      <c r="B516">
        <f ca="1">OFFSET($O$1,0,MOD(ROW(516:516)-2,35))</f>
        <v>2014</v>
      </c>
      <c r="C516">
        <f ca="1" t="shared" si="88"/>
        <v>0.37964808</v>
      </c>
      <c r="D516">
        <f ca="1" t="shared" si="89"/>
        <v>6</v>
      </c>
      <c r="E516">
        <f ca="1" t="shared" si="90"/>
        <v>1</v>
      </c>
      <c r="F516">
        <f ca="1" t="shared" si="91"/>
        <v>0.72854466552</v>
      </c>
      <c r="G516">
        <f ca="1" t="shared" si="92"/>
        <v>0.082317194946</v>
      </c>
      <c r="H516">
        <f ca="1" t="shared" si="93"/>
        <v>0.760454086644</v>
      </c>
      <c r="I516">
        <f ca="1" t="shared" si="94"/>
        <v>1966</v>
      </c>
      <c r="J516">
        <f ca="1" t="shared" si="95"/>
        <v>60</v>
      </c>
      <c r="K516">
        <f ca="1" t="shared" si="96"/>
        <v>29162</v>
      </c>
      <c r="L516">
        <f ca="1" t="shared" si="97"/>
        <v>5902</v>
      </c>
      <c r="M516">
        <f ca="1" t="shared" si="98"/>
        <v>0.0310530435264</v>
      </c>
    </row>
    <row r="517" spans="1:13">
      <c r="A517" t="str">
        <f ca="1">OFFSET($N$2,(ROW(517:517)-2)/35,0)</f>
        <v>山东省</v>
      </c>
      <c r="B517">
        <f ca="1">OFFSET($O$1,0,MOD(ROW(517:517)-2,35))</f>
        <v>2015</v>
      </c>
      <c r="C517">
        <f ca="1" t="shared" si="88"/>
        <v>0.4060434</v>
      </c>
      <c r="D517">
        <f ca="1" t="shared" si="89"/>
        <v>7</v>
      </c>
      <c r="E517">
        <f ca="1" t="shared" si="90"/>
        <v>1</v>
      </c>
      <c r="F517">
        <f ca="1" t="shared" si="91"/>
        <v>0.7533458548</v>
      </c>
      <c r="G517">
        <f ca="1" t="shared" si="92"/>
        <v>0.0868932876</v>
      </c>
      <c r="H517">
        <f ca="1" t="shared" si="93"/>
        <v>0.88227140169</v>
      </c>
      <c r="I517">
        <f ca="1" t="shared" si="94"/>
        <v>1959</v>
      </c>
      <c r="J517">
        <f ca="1" t="shared" si="95"/>
        <v>68</v>
      </c>
      <c r="K517">
        <f ca="1" t="shared" si="96"/>
        <v>30758</v>
      </c>
      <c r="L517">
        <f ca="1" t="shared" si="97"/>
        <v>4325</v>
      </c>
      <c r="M517">
        <f ca="1" t="shared" si="98"/>
        <v>0.03336226593</v>
      </c>
    </row>
    <row r="518" spans="1:13">
      <c r="A518" t="str">
        <f ca="1">OFFSET($N$2,(ROW(518:518)-2)/35,0)</f>
        <v>山东省</v>
      </c>
      <c r="B518">
        <f ca="1">OFFSET($O$1,0,MOD(ROW(518:518)-2,35))</f>
        <v>2016</v>
      </c>
      <c r="C518">
        <f ca="1" t="shared" si="88"/>
        <v>0.41598144</v>
      </c>
      <c r="D518">
        <f ca="1" t="shared" si="89"/>
        <v>7</v>
      </c>
      <c r="E518">
        <f ca="1" t="shared" si="90"/>
        <v>1</v>
      </c>
      <c r="F518">
        <f ca="1" t="shared" si="91"/>
        <v>0.806366155392</v>
      </c>
      <c r="G518">
        <f ca="1" t="shared" si="92"/>
        <v>0.098878788288</v>
      </c>
      <c r="H518">
        <f ca="1" t="shared" si="93"/>
        <v>0.855507429504</v>
      </c>
      <c r="I518">
        <f ca="1" t="shared" si="94"/>
        <v>2121</v>
      </c>
      <c r="J518">
        <f ca="1" t="shared" si="95"/>
        <v>100</v>
      </c>
      <c r="K518">
        <f ca="1" t="shared" si="96"/>
        <v>34179</v>
      </c>
      <c r="L518">
        <f ca="1" t="shared" si="97"/>
        <v>7191</v>
      </c>
      <c r="M518">
        <f ca="1" t="shared" si="98"/>
        <v>0.0337794757056</v>
      </c>
    </row>
    <row r="519" spans="1:13">
      <c r="A519" t="str">
        <f ca="1">OFFSET($N$2,(ROW(519:519)-2)/35,0)</f>
        <v>山东省</v>
      </c>
      <c r="B519">
        <f ca="1">OFFSET($O$1,0,MOD(ROW(519:519)-2,35))</f>
        <v>2017</v>
      </c>
      <c r="C519">
        <f ca="1" t="shared" si="88"/>
        <v>0.41908272</v>
      </c>
      <c r="D519">
        <f ca="1" t="shared" si="89"/>
        <v>8</v>
      </c>
      <c r="E519">
        <f ca="1" t="shared" si="90"/>
        <v>1</v>
      </c>
      <c r="F519">
        <f ca="1" t="shared" si="91"/>
        <v>0.715709469216</v>
      </c>
      <c r="G519">
        <f ca="1" t="shared" si="92"/>
        <v>0.0959028896448</v>
      </c>
      <c r="H519">
        <f ca="1" t="shared" si="93"/>
        <v>0.97394824128</v>
      </c>
      <c r="I519">
        <f ca="1" t="shared" si="94"/>
        <v>2484</v>
      </c>
      <c r="J519">
        <f ca="1" t="shared" si="95"/>
        <v>110</v>
      </c>
      <c r="K519">
        <f ca="1" t="shared" si="96"/>
        <v>43385</v>
      </c>
      <c r="L519">
        <f ca="1" t="shared" si="97"/>
        <v>6580</v>
      </c>
      <c r="M519">
        <f ca="1" t="shared" si="98"/>
        <v>0.03533765364</v>
      </c>
    </row>
    <row r="520" spans="1:13">
      <c r="A520" t="str">
        <f ca="1">OFFSET($N$2,(ROW(520:520)-2)/35,0)</f>
        <v>山东省</v>
      </c>
      <c r="B520">
        <f ca="1">OFFSET($O$1,0,MOD(ROW(520:520)-2,35))</f>
        <v>2018</v>
      </c>
      <c r="C520">
        <f ca="1" t="shared" si="88"/>
        <v>0.44215584</v>
      </c>
      <c r="D520">
        <f ca="1" t="shared" si="89"/>
        <v>8</v>
      </c>
      <c r="E520">
        <f ca="1" t="shared" si="90"/>
        <v>1</v>
      </c>
      <c r="F520">
        <f ca="1" t="shared" si="91"/>
        <v>0.87893211728</v>
      </c>
      <c r="G520">
        <f ca="1" t="shared" si="92"/>
        <v>0.0975771615504</v>
      </c>
      <c r="H520">
        <f ca="1" t="shared" si="93"/>
        <v>1.032279131856</v>
      </c>
      <c r="I520">
        <f ca="1" t="shared" si="94"/>
        <v>2046</v>
      </c>
      <c r="J520">
        <f ca="1" t="shared" si="95"/>
        <v>396</v>
      </c>
      <c r="K520">
        <f ca="1" t="shared" si="96"/>
        <v>28729</v>
      </c>
      <c r="L520">
        <f ca="1" t="shared" si="97"/>
        <v>6826</v>
      </c>
      <c r="M520">
        <f ca="1" t="shared" si="98"/>
        <v>0.0376805206848</v>
      </c>
    </row>
    <row r="521" spans="1:13">
      <c r="A521" t="str">
        <f ca="1">OFFSET($N$2,(ROW(521:521)-2)/35,0)</f>
        <v>山东省</v>
      </c>
      <c r="B521">
        <f ca="1">OFFSET($O$1,0,MOD(ROW(521:521)-2,35))</f>
        <v>2019</v>
      </c>
      <c r="C521">
        <f ca="1" t="shared" si="88"/>
        <v>0.4263714</v>
      </c>
      <c r="D521">
        <f ca="1" t="shared" si="89"/>
        <v>9</v>
      </c>
      <c r="E521">
        <f ca="1" t="shared" si="90"/>
        <v>1</v>
      </c>
      <c r="F521">
        <f ca="1" t="shared" si="91"/>
        <v>0.82548345516</v>
      </c>
      <c r="G521">
        <f ca="1" t="shared" si="92"/>
        <v>0.100161037431</v>
      </c>
      <c r="H521">
        <f ca="1" t="shared" si="93"/>
        <v>0.90324649233</v>
      </c>
      <c r="I521">
        <f ca="1" t="shared" si="94"/>
        <v>1908</v>
      </c>
      <c r="J521">
        <f ca="1" t="shared" si="95"/>
        <v>405</v>
      </c>
      <c r="K521">
        <f ca="1" t="shared" si="96"/>
        <v>27887</v>
      </c>
      <c r="L521">
        <f ca="1" t="shared" si="97"/>
        <v>5514</v>
      </c>
      <c r="M521">
        <f ca="1" t="shared" si="98"/>
        <v>0.030783405978</v>
      </c>
    </row>
    <row r="522" spans="1:13">
      <c r="A522" t="str">
        <f ca="1">OFFSET($N$2,(ROW(522:522)-2)/35,0)</f>
        <v>山东省</v>
      </c>
      <c r="B522">
        <f ca="1">OFFSET($O$1,0,MOD(ROW(522:522)-2,35))</f>
        <v>2020</v>
      </c>
      <c r="C522">
        <f ca="1" t="shared" si="88"/>
        <v>0.458304</v>
      </c>
      <c r="D522">
        <f ca="1" t="shared" si="89"/>
        <v>9</v>
      </c>
      <c r="E522">
        <f ca="1" t="shared" si="90"/>
        <v>1</v>
      </c>
      <c r="F522">
        <f ca="1" t="shared" si="91"/>
        <v>0.8123132864</v>
      </c>
      <c r="G522">
        <f ca="1" t="shared" si="92"/>
        <v>0.09501100224</v>
      </c>
      <c r="H522">
        <f ca="1" t="shared" si="93"/>
        <v>1.0057939584</v>
      </c>
      <c r="I522">
        <f ca="1" t="shared" si="94"/>
        <v>1934</v>
      </c>
      <c r="J522">
        <f ca="1" t="shared" si="95"/>
        <v>277</v>
      </c>
      <c r="K522">
        <f ca="1" t="shared" si="96"/>
        <v>51169</v>
      </c>
      <c r="L522">
        <f ca="1" t="shared" si="97"/>
        <v>5819</v>
      </c>
      <c r="M522">
        <f ca="1" t="shared" si="98"/>
        <v>0.03668134272</v>
      </c>
    </row>
    <row r="523" spans="1:13">
      <c r="A523" t="str">
        <f ca="1">OFFSET($N$2,(ROW(523:523)-2)/35,0)</f>
        <v>山东省</v>
      </c>
      <c r="B523">
        <f ca="1">OFFSET($O$1,0,MOD(ROW(523:523)-2,35))</f>
        <v>2021</v>
      </c>
      <c r="C523">
        <f ca="1" t="shared" si="88"/>
        <v>0.47540976</v>
      </c>
      <c r="D523">
        <f ca="1" t="shared" si="89"/>
        <v>9</v>
      </c>
      <c r="E523">
        <f ca="1" t="shared" si="90"/>
        <v>2</v>
      </c>
      <c r="F523">
        <f ca="1" t="shared" si="91"/>
        <v>0.805043040592</v>
      </c>
      <c r="G523">
        <f ca="1" t="shared" si="92"/>
        <v>0.1005182626056</v>
      </c>
      <c r="H523">
        <f ca="1" t="shared" si="93"/>
        <v>1.095177693624</v>
      </c>
      <c r="I523">
        <f ca="1" t="shared" si="94"/>
        <v>1947</v>
      </c>
      <c r="J523">
        <f ca="1" t="shared" si="95"/>
        <v>342</v>
      </c>
      <c r="K523">
        <f ca="1" t="shared" si="96"/>
        <v>41438</v>
      </c>
      <c r="L523">
        <f ca="1" t="shared" si="97"/>
        <v>9459</v>
      </c>
      <c r="M523">
        <f ca="1" t="shared" si="98"/>
        <v>0.0359925937728</v>
      </c>
    </row>
    <row r="524" spans="1:13">
      <c r="A524" t="str">
        <f ca="1">OFFSET($N$2,(ROW(524:524)-2)/35,0)</f>
        <v>山东省</v>
      </c>
      <c r="B524">
        <f ca="1">OFFSET($O$1,0,MOD(ROW(524:524)-2,35))</f>
        <v>2022</v>
      </c>
      <c r="C524">
        <f ca="1" t="shared" si="88"/>
        <v>0.46767168</v>
      </c>
      <c r="D524">
        <f ca="1" t="shared" si="89"/>
        <v>9</v>
      </c>
      <c r="E524">
        <f ca="1" t="shared" si="90"/>
        <v>2</v>
      </c>
      <c r="F524">
        <f ca="1" t="shared" si="91"/>
        <v>0.873189793728</v>
      </c>
      <c r="G524">
        <f ca="1" t="shared" si="92"/>
        <v>0.1094024361024</v>
      </c>
      <c r="H524">
        <f ca="1" t="shared" si="93"/>
        <v>1.032876288864</v>
      </c>
      <c r="I524">
        <f ca="1" t="shared" si="94"/>
        <v>2293</v>
      </c>
      <c r="J524">
        <f ca="1" t="shared" si="95"/>
        <v>300</v>
      </c>
      <c r="K524">
        <f ca="1" t="shared" si="96"/>
        <v>35199</v>
      </c>
      <c r="L524">
        <f ca="1" t="shared" si="97"/>
        <v>7755</v>
      </c>
      <c r="M524">
        <f ca="1" t="shared" si="98"/>
        <v>0.0352176818112</v>
      </c>
    </row>
    <row r="525" spans="1:13">
      <c r="A525" t="str">
        <f ca="1">OFFSET($N$2,(ROW(525:525)-2)/35,0)</f>
        <v>山东省</v>
      </c>
      <c r="B525">
        <f ca="1">OFFSET($O$1,0,MOD(ROW(525:525)-2,35))</f>
        <v>2023</v>
      </c>
      <c r="C525">
        <f ca="1" t="shared" si="88"/>
        <v>0.47974584</v>
      </c>
      <c r="D525">
        <f ca="1" t="shared" si="89"/>
        <v>9</v>
      </c>
      <c r="E525">
        <f ca="1" t="shared" si="90"/>
        <v>2</v>
      </c>
      <c r="F525">
        <f ca="1" t="shared" si="91"/>
        <v>0.85210856948</v>
      </c>
      <c r="G525">
        <f ca="1" t="shared" si="92"/>
        <v>0.0978177780468</v>
      </c>
      <c r="H525">
        <f ca="1" t="shared" si="93"/>
        <v>0.98072043342</v>
      </c>
      <c r="I525">
        <f ca="1" t="shared" si="94"/>
        <v>2532</v>
      </c>
      <c r="J525">
        <f ca="1" t="shared" si="95"/>
        <v>379</v>
      </c>
      <c r="K525">
        <f ca="1" t="shared" si="96"/>
        <v>49645</v>
      </c>
      <c r="L525">
        <f ca="1" t="shared" si="97"/>
        <v>7545</v>
      </c>
      <c r="M525">
        <f ca="1" t="shared" si="98"/>
        <v>0.0398168486664</v>
      </c>
    </row>
    <row r="526" spans="1:13">
      <c r="A526" t="str">
        <f ca="1">OFFSET($N$2,(ROW(526:526)-2)/35,0)</f>
        <v>山东省</v>
      </c>
      <c r="B526">
        <f ca="1">OFFSET($O$1,0,MOD(ROW(526:526)-2,35))</f>
        <v>2024</v>
      </c>
      <c r="C526">
        <f ca="1" t="shared" si="88"/>
        <v>0.50853264</v>
      </c>
      <c r="D526">
        <f ca="1" t="shared" si="89"/>
        <v>9</v>
      </c>
      <c r="E526">
        <f ca="1" t="shared" si="90"/>
        <v>2</v>
      </c>
      <c r="F526">
        <f ca="1" t="shared" si="91"/>
        <v>0.897204136752</v>
      </c>
      <c r="G526">
        <f ca="1" t="shared" si="92"/>
        <v>0.1242319812888</v>
      </c>
      <c r="H526">
        <f ca="1" t="shared" si="93"/>
        <v>1.101074872128</v>
      </c>
      <c r="I526">
        <f ca="1" t="shared" si="94"/>
        <v>2358</v>
      </c>
      <c r="J526">
        <f ca="1" t="shared" si="95"/>
        <v>320</v>
      </c>
      <c r="K526">
        <f ca="1" t="shared" si="96"/>
        <v>49982</v>
      </c>
      <c r="L526">
        <f ca="1" t="shared" si="97"/>
        <v>9074</v>
      </c>
      <c r="M526">
        <f ca="1" t="shared" si="98"/>
        <v>0.038038241472</v>
      </c>
    </row>
    <row r="527" spans="1:13">
      <c r="A527" t="str">
        <f ca="1">OFFSET($N$2,(ROW(527:527)-2)/35,0)</f>
        <v>河南省</v>
      </c>
      <c r="B527">
        <f ca="1">OFFSET($O$1,0,MOD(ROW(527:527)-2,35))</f>
        <v>1990</v>
      </c>
      <c r="C527">
        <f ca="1" t="shared" si="88"/>
        <v>0.090216</v>
      </c>
      <c r="D527">
        <f ca="1" t="shared" si="89"/>
        <v>3</v>
      </c>
      <c r="E527">
        <f ca="1" t="shared" si="90"/>
        <v>0</v>
      </c>
      <c r="F527">
        <f ca="1" t="shared" si="91"/>
        <v>0.1754310264</v>
      </c>
      <c r="G527">
        <f ca="1" t="shared" si="92"/>
        <v>0.02067660504</v>
      </c>
      <c r="H527">
        <f ca="1" t="shared" si="93"/>
        <v>0.2223779292</v>
      </c>
      <c r="I527">
        <f ca="1" t="shared" si="94"/>
        <v>459</v>
      </c>
      <c r="J527">
        <f ca="1" t="shared" si="95"/>
        <v>12</v>
      </c>
      <c r="K527">
        <f ca="1" t="shared" si="96"/>
        <v>7990</v>
      </c>
      <c r="L527">
        <f ca="1" t="shared" si="97"/>
        <v>1607</v>
      </c>
      <c r="M527">
        <f ca="1" t="shared" si="98"/>
        <v>0.0065058624</v>
      </c>
    </row>
    <row r="528" spans="1:13">
      <c r="A528" t="str">
        <f ca="1">OFFSET($N$2,(ROW(528:528)-2)/35,0)</f>
        <v>河南省</v>
      </c>
      <c r="B528">
        <f ca="1">OFFSET($O$1,0,MOD(ROW(528:528)-2,35))</f>
        <v>1991</v>
      </c>
      <c r="C528">
        <f ca="1" t="shared" si="88"/>
        <v>0.0976668</v>
      </c>
      <c r="D528">
        <f ca="1" t="shared" si="89"/>
        <v>3</v>
      </c>
      <c r="E528">
        <f ca="1" t="shared" si="90"/>
        <v>0</v>
      </c>
      <c r="F528">
        <f ca="1" t="shared" si="91"/>
        <v>0.16600425996</v>
      </c>
      <c r="G528">
        <f ca="1" t="shared" si="92"/>
        <v>0.022643559246</v>
      </c>
      <c r="H528">
        <f ca="1" t="shared" si="93"/>
        <v>0.22700694324</v>
      </c>
      <c r="I528">
        <f ca="1" t="shared" si="94"/>
        <v>400</v>
      </c>
      <c r="J528">
        <f ca="1" t="shared" si="95"/>
        <v>12</v>
      </c>
      <c r="K528">
        <f ca="1" t="shared" si="96"/>
        <v>7253</v>
      </c>
      <c r="L528">
        <f ca="1" t="shared" si="97"/>
        <v>1710</v>
      </c>
      <c r="M528">
        <f ca="1" t="shared" si="98"/>
        <v>0.00782171544</v>
      </c>
    </row>
    <row r="529" spans="1:13">
      <c r="A529" t="str">
        <f ca="1">OFFSET($N$2,(ROW(529:529)-2)/35,0)</f>
        <v>河南省</v>
      </c>
      <c r="B529">
        <f ca="1">OFFSET($O$1,0,MOD(ROW(529:529)-2,35))</f>
        <v>1992</v>
      </c>
      <c r="C529">
        <f ca="1" t="shared" si="88"/>
        <v>0.10157616</v>
      </c>
      <c r="D529">
        <f ca="1" t="shared" si="89"/>
        <v>3</v>
      </c>
      <c r="E529">
        <f ca="1" t="shared" si="90"/>
        <v>0</v>
      </c>
      <c r="F529">
        <f ca="1" t="shared" si="91"/>
        <v>0.18171975024</v>
      </c>
      <c r="G529">
        <f ca="1" t="shared" si="92"/>
        <v>0.025289924436</v>
      </c>
      <c r="H529">
        <f ca="1" t="shared" si="93"/>
        <v>0.245215007856</v>
      </c>
      <c r="I529">
        <f ca="1" t="shared" si="94"/>
        <v>414</v>
      </c>
      <c r="J529">
        <f ca="1" t="shared" si="95"/>
        <v>11</v>
      </c>
      <c r="K529">
        <f ca="1" t="shared" si="96"/>
        <v>12029</v>
      </c>
      <c r="L529">
        <f ca="1" t="shared" si="97"/>
        <v>1608</v>
      </c>
      <c r="M529">
        <f ca="1" t="shared" si="98"/>
        <v>0.008304576624</v>
      </c>
    </row>
    <row r="530" spans="1:13">
      <c r="A530" t="str">
        <f ca="1">OFFSET($N$2,(ROW(530:530)-2)/35,0)</f>
        <v>河南省</v>
      </c>
      <c r="B530">
        <f ca="1">OFFSET($O$1,0,MOD(ROW(530:530)-2,35))</f>
        <v>1993</v>
      </c>
      <c r="C530">
        <f ca="1" t="shared" si="88"/>
        <v>0.11015004</v>
      </c>
      <c r="D530">
        <f ca="1" t="shared" si="89"/>
        <v>4</v>
      </c>
      <c r="E530">
        <f ca="1" t="shared" si="90"/>
        <v>0</v>
      </c>
      <c r="F530">
        <f ca="1" t="shared" si="91"/>
        <v>0.216962533788</v>
      </c>
      <c r="G530">
        <f ca="1" t="shared" si="92"/>
        <v>0.024714915225</v>
      </c>
      <c r="H530">
        <f ca="1" t="shared" si="93"/>
        <v>0.253697572128</v>
      </c>
      <c r="I530">
        <f ca="1" t="shared" si="94"/>
        <v>526</v>
      </c>
      <c r="J530">
        <f ca="1" t="shared" si="95"/>
        <v>20</v>
      </c>
      <c r="K530">
        <f ca="1" t="shared" si="96"/>
        <v>11677</v>
      </c>
      <c r="L530">
        <f ca="1" t="shared" si="97"/>
        <v>1872</v>
      </c>
      <c r="M530">
        <f ca="1" t="shared" si="98"/>
        <v>0.0086889498696</v>
      </c>
    </row>
    <row r="531" spans="1:13">
      <c r="A531" t="str">
        <f ca="1">OFFSET($N$2,(ROW(531:531)-2)/35,0)</f>
        <v>河南省</v>
      </c>
      <c r="B531">
        <f ca="1">OFFSET($O$1,0,MOD(ROW(531:531)-2,35))</f>
        <v>1994</v>
      </c>
      <c r="C531">
        <f ca="1" t="shared" si="88"/>
        <v>0.12057528</v>
      </c>
      <c r="D531">
        <f ca="1" t="shared" si="89"/>
        <v>4</v>
      </c>
      <c r="E531">
        <f ca="1" t="shared" si="90"/>
        <v>0</v>
      </c>
      <c r="F531">
        <f ca="1" t="shared" si="91"/>
        <v>0.22834948444</v>
      </c>
      <c r="G531">
        <f ca="1" t="shared" si="92"/>
        <v>0.024437594874</v>
      </c>
      <c r="H531">
        <f ca="1" t="shared" si="93"/>
        <v>0.278118940848</v>
      </c>
      <c r="I531">
        <f ca="1" t="shared" si="94"/>
        <v>563</v>
      </c>
      <c r="J531">
        <f ca="1" t="shared" si="95"/>
        <v>18</v>
      </c>
      <c r="K531">
        <f ca="1" t="shared" si="96"/>
        <v>13918</v>
      </c>
      <c r="L531">
        <f ca="1" t="shared" si="97"/>
        <v>1713</v>
      </c>
      <c r="M531">
        <f ca="1" t="shared" si="98"/>
        <v>0.0100521888432</v>
      </c>
    </row>
    <row r="532" spans="1:13">
      <c r="A532" t="str">
        <f ca="1">OFFSET($N$2,(ROW(532:532)-2)/35,0)</f>
        <v>河南省</v>
      </c>
      <c r="B532">
        <f ca="1">OFFSET($O$1,0,MOD(ROW(532:532)-2,35))</f>
        <v>1995</v>
      </c>
      <c r="C532">
        <f ca="1" t="shared" si="88"/>
        <v>0.129969</v>
      </c>
      <c r="D532">
        <f ca="1" t="shared" si="89"/>
        <v>4</v>
      </c>
      <c r="E532">
        <f ca="1" t="shared" si="90"/>
        <v>0</v>
      </c>
      <c r="F532">
        <f ca="1" t="shared" si="91"/>
        <v>0.2257648176</v>
      </c>
      <c r="G532">
        <f ca="1" t="shared" si="92"/>
        <v>0.028783584585</v>
      </c>
      <c r="H532">
        <f ca="1" t="shared" si="93"/>
        <v>0.3225700611</v>
      </c>
      <c r="I532">
        <f ca="1" t="shared" si="94"/>
        <v>763</v>
      </c>
      <c r="J532">
        <f ca="1" t="shared" si="95"/>
        <v>18</v>
      </c>
      <c r="K532">
        <f ca="1" t="shared" si="96"/>
        <v>10815</v>
      </c>
      <c r="L532">
        <f ca="1" t="shared" si="97"/>
        <v>2421</v>
      </c>
      <c r="M532">
        <f ca="1" t="shared" si="98"/>
        <v>0.00963033156</v>
      </c>
    </row>
    <row r="533" spans="1:13">
      <c r="A533" t="str">
        <f ca="1">OFFSET($N$2,(ROW(533:533)-2)/35,0)</f>
        <v>河南省</v>
      </c>
      <c r="B533">
        <f ca="1">OFFSET($O$1,0,MOD(ROW(533:533)-2,35))</f>
        <v>1996</v>
      </c>
      <c r="C533">
        <f ca="1" t="shared" si="88"/>
        <v>0.14275968</v>
      </c>
      <c r="D533">
        <f ca="1" t="shared" si="89"/>
        <v>4</v>
      </c>
      <c r="E533">
        <f ca="1" t="shared" si="90"/>
        <v>0</v>
      </c>
      <c r="F533">
        <f ca="1" t="shared" si="91"/>
        <v>0.252261113216</v>
      </c>
      <c r="G533">
        <f ca="1" t="shared" si="92"/>
        <v>0.0295626745344</v>
      </c>
      <c r="H533">
        <f ca="1" t="shared" si="93"/>
        <v>0.33052434912</v>
      </c>
      <c r="I533">
        <f ca="1" t="shared" si="94"/>
        <v>645</v>
      </c>
      <c r="J533">
        <f ca="1" t="shared" si="95"/>
        <v>17</v>
      </c>
      <c r="K533">
        <f ca="1" t="shared" si="96"/>
        <v>10208</v>
      </c>
      <c r="L533">
        <f ca="1" t="shared" si="97"/>
        <v>1923</v>
      </c>
      <c r="M533">
        <f ca="1" t="shared" si="98"/>
        <v>0.0110396060544</v>
      </c>
    </row>
    <row r="534" spans="1:13">
      <c r="A534" t="str">
        <f ca="1">OFFSET($N$2,(ROW(534:534)-2)/35,0)</f>
        <v>河南省</v>
      </c>
      <c r="B534">
        <f ca="1">OFFSET($O$1,0,MOD(ROW(534:534)-2,35))</f>
        <v>1997</v>
      </c>
      <c r="C534">
        <f ca="1" t="shared" si="88"/>
        <v>0.15341004</v>
      </c>
      <c r="D534">
        <f ca="1" t="shared" si="89"/>
        <v>4</v>
      </c>
      <c r="E534">
        <f ca="1" t="shared" si="90"/>
        <v>0</v>
      </c>
      <c r="F534">
        <f ca="1" t="shared" si="91"/>
        <v>0.298096162392</v>
      </c>
      <c r="G534">
        <f ca="1" t="shared" si="92"/>
        <v>0.0309029184576</v>
      </c>
      <c r="H534">
        <f ca="1" t="shared" si="93"/>
        <v>0.357000504084</v>
      </c>
      <c r="I534">
        <f ca="1" t="shared" si="94"/>
        <v>830</v>
      </c>
      <c r="J534">
        <f ca="1" t="shared" si="95"/>
        <v>17</v>
      </c>
      <c r="K534">
        <f ca="1" t="shared" si="96"/>
        <v>13872</v>
      </c>
      <c r="L534">
        <f ca="1" t="shared" si="97"/>
        <v>2812</v>
      </c>
      <c r="M534">
        <f ca="1" t="shared" si="98"/>
        <v>0.012085423794</v>
      </c>
    </row>
    <row r="535" spans="1:13">
      <c r="A535" t="str">
        <f ca="1">OFFSET($N$2,(ROW(535:535)-2)/35,0)</f>
        <v>河南省</v>
      </c>
      <c r="B535">
        <f ca="1">OFFSET($O$1,0,MOD(ROW(535:535)-2,35))</f>
        <v>1998</v>
      </c>
      <c r="C535">
        <f ca="1" t="shared" si="88"/>
        <v>0.16443</v>
      </c>
      <c r="D535">
        <f ca="1" t="shared" si="89"/>
        <v>4</v>
      </c>
      <c r="E535">
        <f ca="1" t="shared" si="90"/>
        <v>0</v>
      </c>
      <c r="F535">
        <f ca="1" t="shared" si="91"/>
        <v>0.316407168</v>
      </c>
      <c r="G535">
        <f ca="1" t="shared" si="92"/>
        <v>0.0390406149</v>
      </c>
      <c r="H535">
        <f ca="1" t="shared" si="93"/>
        <v>0.393842736</v>
      </c>
      <c r="I535">
        <f ca="1" t="shared" si="94"/>
        <v>894</v>
      </c>
      <c r="J535">
        <f ca="1" t="shared" si="95"/>
        <v>20</v>
      </c>
      <c r="K535">
        <f ca="1" t="shared" si="96"/>
        <v>13986</v>
      </c>
      <c r="L535">
        <f ca="1" t="shared" si="97"/>
        <v>2378</v>
      </c>
      <c r="M535">
        <f ca="1" t="shared" si="98"/>
        <v>0.0133289307</v>
      </c>
    </row>
    <row r="536" spans="1:13">
      <c r="A536" t="str">
        <f ca="1">OFFSET($N$2,(ROW(536:536)-2)/35,0)</f>
        <v>河南省</v>
      </c>
      <c r="B536">
        <f ca="1">OFFSET($O$1,0,MOD(ROW(536:536)-2,35))</f>
        <v>1999</v>
      </c>
      <c r="C536">
        <f ca="1" t="shared" si="88"/>
        <v>0.16716504</v>
      </c>
      <c r="D536">
        <f ca="1" t="shared" si="89"/>
        <v>4</v>
      </c>
      <c r="E536">
        <f ca="1" t="shared" si="90"/>
        <v>0</v>
      </c>
      <c r="F536">
        <f ca="1" t="shared" si="91"/>
        <v>0.32563749792</v>
      </c>
      <c r="G536">
        <f ca="1" t="shared" si="92"/>
        <v>0.0359429910756</v>
      </c>
      <c r="H536">
        <f ca="1" t="shared" si="93"/>
        <v>0.339278165184</v>
      </c>
      <c r="I536">
        <f ca="1" t="shared" si="94"/>
        <v>1003</v>
      </c>
      <c r="J536">
        <f ca="1" t="shared" si="95"/>
        <v>30</v>
      </c>
      <c r="K536">
        <f ca="1" t="shared" si="96"/>
        <v>18698</v>
      </c>
      <c r="L536">
        <f ca="1" t="shared" si="97"/>
        <v>2154</v>
      </c>
      <c r="M536">
        <f ca="1" t="shared" si="98"/>
        <v>0.0124291983384</v>
      </c>
    </row>
    <row r="537" spans="1:13">
      <c r="A537" t="str">
        <f ca="1">OFFSET($N$2,(ROW(537:537)-2)/35,0)</f>
        <v>河南省</v>
      </c>
      <c r="B537">
        <f ca="1">OFFSET($O$1,0,MOD(ROW(537:537)-2,35))</f>
        <v>2000</v>
      </c>
      <c r="C537">
        <f ca="1" t="shared" si="88"/>
        <v>0.1718136</v>
      </c>
      <c r="D537">
        <f ca="1" t="shared" si="89"/>
        <v>4</v>
      </c>
      <c r="E537">
        <f ca="1" t="shared" si="90"/>
        <v>0</v>
      </c>
      <c r="F537">
        <f ca="1" t="shared" si="91"/>
        <v>0.32886841176</v>
      </c>
      <c r="G537">
        <f ca="1" t="shared" si="92"/>
        <v>0.039444966288</v>
      </c>
      <c r="H537">
        <f ca="1" t="shared" si="93"/>
        <v>0.366822036</v>
      </c>
      <c r="I537">
        <f ca="1" t="shared" si="94"/>
        <v>808</v>
      </c>
      <c r="J537">
        <f ca="1" t="shared" si="95"/>
        <v>22</v>
      </c>
      <c r="K537">
        <f ca="1" t="shared" si="96"/>
        <v>19170</v>
      </c>
      <c r="L537">
        <f ca="1" t="shared" si="97"/>
        <v>2003</v>
      </c>
      <c r="M537">
        <f ca="1" t="shared" si="98"/>
        <v>0.013834185624</v>
      </c>
    </row>
    <row r="538" spans="1:13">
      <c r="A538" t="str">
        <f ca="1">OFFSET($N$2,(ROW(538:538)-2)/35,0)</f>
        <v>河南省</v>
      </c>
      <c r="B538">
        <f ca="1">OFFSET($O$1,0,MOD(ROW(538:538)-2,35))</f>
        <v>2001</v>
      </c>
      <c r="C538">
        <f ca="1" t="shared" si="88"/>
        <v>0.18943596</v>
      </c>
      <c r="D538">
        <f ca="1" t="shared" si="89"/>
        <v>4</v>
      </c>
      <c r="E538">
        <f ca="1" t="shared" si="90"/>
        <v>0</v>
      </c>
      <c r="F538">
        <f ca="1" t="shared" si="91"/>
        <v>0.316219133496</v>
      </c>
      <c r="G538">
        <f ca="1" t="shared" si="92"/>
        <v>0.0464013912222</v>
      </c>
      <c r="H538">
        <f ca="1" t="shared" si="93"/>
        <v>0.37962966384</v>
      </c>
      <c r="I538">
        <f ca="1" t="shared" si="94"/>
        <v>861</v>
      </c>
      <c r="J538">
        <f ca="1" t="shared" si="95"/>
        <v>34</v>
      </c>
      <c r="K538">
        <f ca="1" t="shared" si="96"/>
        <v>12639</v>
      </c>
      <c r="L538">
        <f ca="1" t="shared" si="97"/>
        <v>2973</v>
      </c>
      <c r="M538">
        <f ca="1" t="shared" si="98"/>
        <v>0.01517517351</v>
      </c>
    </row>
    <row r="539" spans="1:13">
      <c r="A539" t="str">
        <f ca="1">OFFSET($N$2,(ROW(539:539)-2)/35,0)</f>
        <v>河南省</v>
      </c>
      <c r="B539">
        <f ca="1">OFFSET($O$1,0,MOD(ROW(539:539)-2,35))</f>
        <v>2002</v>
      </c>
      <c r="C539">
        <f ca="1" t="shared" si="88"/>
        <v>0.19836432</v>
      </c>
      <c r="D539">
        <f ca="1" t="shared" si="89"/>
        <v>5</v>
      </c>
      <c r="E539">
        <f ca="1" t="shared" si="90"/>
        <v>0</v>
      </c>
      <c r="F539">
        <f ca="1" t="shared" si="91"/>
        <v>0.351256925712</v>
      </c>
      <c r="G539">
        <f ca="1" t="shared" si="92"/>
        <v>0.0418955362056</v>
      </c>
      <c r="H539">
        <f ca="1" t="shared" si="93"/>
        <v>0.44041838148</v>
      </c>
      <c r="I539">
        <f ca="1" t="shared" si="94"/>
        <v>1063</v>
      </c>
      <c r="J539">
        <f ca="1" t="shared" si="95"/>
        <v>24</v>
      </c>
      <c r="K539">
        <f ca="1" t="shared" si="96"/>
        <v>12498</v>
      </c>
      <c r="L539">
        <f ca="1" t="shared" si="97"/>
        <v>2348</v>
      </c>
      <c r="M539">
        <f ca="1" t="shared" si="98"/>
        <v>0.0144681267456</v>
      </c>
    </row>
    <row r="540" spans="1:13">
      <c r="A540" t="str">
        <f ca="1">OFFSET($N$2,(ROW(540:540)-2)/35,0)</f>
        <v>河南省</v>
      </c>
      <c r="B540">
        <f ca="1">OFFSET($O$1,0,MOD(ROW(540:540)-2,35))</f>
        <v>2003</v>
      </c>
      <c r="C540">
        <f ca="1" t="shared" si="88"/>
        <v>0.1988028</v>
      </c>
      <c r="D540">
        <f ca="1" t="shared" si="89"/>
        <v>5</v>
      </c>
      <c r="E540">
        <f ca="1" t="shared" si="90"/>
        <v>0</v>
      </c>
      <c r="F540">
        <f ca="1" t="shared" si="91"/>
        <v>0.36246389172</v>
      </c>
      <c r="G540">
        <f ca="1" t="shared" si="92"/>
        <v>0.046641124908</v>
      </c>
      <c r="H540">
        <f ca="1" t="shared" si="93"/>
        <v>0.43820113176</v>
      </c>
      <c r="I540">
        <f ca="1" t="shared" si="94"/>
        <v>913</v>
      </c>
      <c r="J540">
        <f ca="1" t="shared" si="95"/>
        <v>38</v>
      </c>
      <c r="K540">
        <f ca="1" t="shared" si="96"/>
        <v>21577</v>
      </c>
      <c r="L540">
        <f ca="1" t="shared" si="97"/>
        <v>3072</v>
      </c>
      <c r="M540">
        <f ca="1" t="shared" si="98"/>
        <v>0.015098788656</v>
      </c>
    </row>
    <row r="541" spans="1:13">
      <c r="A541" t="str">
        <f ca="1">OFFSET($N$2,(ROW(541:541)-2)/35,0)</f>
        <v>河南省</v>
      </c>
      <c r="B541">
        <f ca="1">OFFSET($O$1,0,MOD(ROW(541:541)-2,35))</f>
        <v>2004</v>
      </c>
      <c r="C541">
        <f ca="1" t="shared" si="88"/>
        <v>0.20293056</v>
      </c>
      <c r="D541">
        <f ca="1" t="shared" si="89"/>
        <v>5</v>
      </c>
      <c r="E541">
        <f ca="1" t="shared" si="90"/>
        <v>0</v>
      </c>
      <c r="F541">
        <f ca="1" t="shared" si="91"/>
        <v>0.359782354176</v>
      </c>
      <c r="G541">
        <f ca="1" t="shared" si="92"/>
        <v>0.0482883414048</v>
      </c>
      <c r="H541">
        <f ca="1" t="shared" si="93"/>
        <v>0.454544161344</v>
      </c>
      <c r="I541">
        <f ca="1" t="shared" si="94"/>
        <v>966</v>
      </c>
      <c r="J541">
        <f ca="1" t="shared" si="95"/>
        <v>25</v>
      </c>
      <c r="K541">
        <f ca="1" t="shared" si="96"/>
        <v>20721</v>
      </c>
      <c r="L541">
        <f ca="1" t="shared" si="97"/>
        <v>2384</v>
      </c>
      <c r="M541">
        <f ca="1" t="shared" si="98"/>
        <v>0.0156697180416</v>
      </c>
    </row>
    <row r="542" spans="1:13">
      <c r="A542" t="str">
        <f ca="1">OFFSET($N$2,(ROW(542:542)-2)/35,0)</f>
        <v>河南省</v>
      </c>
      <c r="B542">
        <f ca="1">OFFSET($O$1,0,MOD(ROW(542:542)-2,35))</f>
        <v>2005</v>
      </c>
      <c r="C542">
        <f ca="1" t="shared" si="88"/>
        <v>0.228228</v>
      </c>
      <c r="D542">
        <f ca="1" t="shared" si="89"/>
        <v>5</v>
      </c>
      <c r="E542">
        <f ca="1" t="shared" si="90"/>
        <v>0</v>
      </c>
      <c r="F542">
        <f ca="1" t="shared" si="91"/>
        <v>0.4158618464</v>
      </c>
      <c r="G542">
        <f ca="1" t="shared" si="92"/>
        <v>0.04775214444</v>
      </c>
      <c r="H542">
        <f ca="1" t="shared" si="93"/>
        <v>0.5487970488</v>
      </c>
      <c r="I542">
        <f ca="1" t="shared" si="94"/>
        <v>1167</v>
      </c>
      <c r="J542">
        <f ca="1" t="shared" si="95"/>
        <v>30</v>
      </c>
      <c r="K542">
        <f ca="1" t="shared" si="96"/>
        <v>27155</v>
      </c>
      <c r="L542">
        <f ca="1" t="shared" si="97"/>
        <v>4508</v>
      </c>
      <c r="M542">
        <f ca="1" t="shared" si="98"/>
        <v>0.01633688628</v>
      </c>
    </row>
    <row r="543" spans="1:13">
      <c r="A543" t="str">
        <f ca="1">OFFSET($N$2,(ROW(543:543)-2)/35,0)</f>
        <v>河南省</v>
      </c>
      <c r="B543">
        <f ca="1">OFFSET($O$1,0,MOD(ROW(543:543)-2,35))</f>
        <v>2006</v>
      </c>
      <c r="C543">
        <f ca="1" t="shared" si="88"/>
        <v>0.23141664</v>
      </c>
      <c r="D543">
        <f ca="1" t="shared" si="89"/>
        <v>5</v>
      </c>
      <c r="E543">
        <f ca="1" t="shared" si="90"/>
        <v>0</v>
      </c>
      <c r="F543">
        <f ca="1" t="shared" si="91"/>
        <v>0.447243512352</v>
      </c>
      <c r="G543">
        <f ca="1" t="shared" si="92"/>
        <v>0.0523857847968</v>
      </c>
      <c r="H543">
        <f ca="1" t="shared" si="93"/>
        <v>0.505888345872</v>
      </c>
      <c r="I543">
        <f ca="1" t="shared" si="94"/>
        <v>1030</v>
      </c>
      <c r="J543">
        <f ca="1" t="shared" si="95"/>
        <v>42</v>
      </c>
      <c r="K543">
        <f ca="1" t="shared" si="96"/>
        <v>27720</v>
      </c>
      <c r="L543">
        <f ca="1" t="shared" si="97"/>
        <v>2468</v>
      </c>
      <c r="M543">
        <f ca="1" t="shared" si="98"/>
        <v>0.0166269549888</v>
      </c>
    </row>
    <row r="544" spans="1:13">
      <c r="A544" t="str">
        <f ca="1">OFFSET($N$2,(ROW(544:544)-2)/35,0)</f>
        <v>河南省</v>
      </c>
      <c r="B544">
        <f ca="1">OFFSET($O$1,0,MOD(ROW(544:544)-2,35))</f>
        <v>2007</v>
      </c>
      <c r="C544">
        <f ca="1" t="shared" si="88"/>
        <v>0.2390472</v>
      </c>
      <c r="D544">
        <f ca="1" t="shared" si="89"/>
        <v>6</v>
      </c>
      <c r="E544">
        <f ca="1" t="shared" si="90"/>
        <v>0</v>
      </c>
      <c r="F544">
        <f ca="1" t="shared" si="91"/>
        <v>0.4358228868</v>
      </c>
      <c r="G544">
        <f ca="1" t="shared" si="92"/>
        <v>0.048977185572</v>
      </c>
      <c r="H544">
        <f ca="1" t="shared" si="93"/>
        <v>0.49397908644</v>
      </c>
      <c r="I544">
        <f ca="1" t="shared" si="94"/>
        <v>1164</v>
      </c>
      <c r="J544">
        <f ca="1" t="shared" si="95"/>
        <v>40</v>
      </c>
      <c r="K544">
        <f ca="1" t="shared" si="96"/>
        <v>17498</v>
      </c>
      <c r="L544">
        <f ca="1" t="shared" si="97"/>
        <v>4168</v>
      </c>
      <c r="M544">
        <f ca="1" t="shared" si="98"/>
        <v>0.019840576104</v>
      </c>
    </row>
    <row r="545" spans="1:13">
      <c r="A545" t="str">
        <f ca="1">OFFSET($N$2,(ROW(545:545)-2)/35,0)</f>
        <v>河南省</v>
      </c>
      <c r="B545">
        <f ca="1">OFFSET($O$1,0,MOD(ROW(545:545)-2,35))</f>
        <v>2008</v>
      </c>
      <c r="C545">
        <f ca="1" t="shared" si="88"/>
        <v>0.2401392</v>
      </c>
      <c r="D545">
        <f ca="1" t="shared" si="89"/>
        <v>6</v>
      </c>
      <c r="E545">
        <f ca="1" t="shared" si="90"/>
        <v>0</v>
      </c>
      <c r="F545">
        <f ca="1" t="shared" si="91"/>
        <v>0.41403199936</v>
      </c>
      <c r="G545">
        <f ca="1" t="shared" si="92"/>
        <v>0.055911609936</v>
      </c>
      <c r="H545">
        <f ca="1" t="shared" si="93"/>
        <v>0.48936766872</v>
      </c>
      <c r="I545">
        <f ca="1" t="shared" si="94"/>
        <v>1214</v>
      </c>
      <c r="J545">
        <f ca="1" t="shared" si="95"/>
        <v>39</v>
      </c>
      <c r="K545">
        <f ca="1" t="shared" si="96"/>
        <v>15482</v>
      </c>
      <c r="L545">
        <f ca="1" t="shared" si="97"/>
        <v>3582</v>
      </c>
      <c r="M545">
        <f ca="1" t="shared" si="98"/>
        <v>0.019245784656</v>
      </c>
    </row>
    <row r="546" spans="1:13">
      <c r="A546" t="str">
        <f ca="1">OFFSET($N$2,(ROW(546:546)-2)/35,0)</f>
        <v>河南省</v>
      </c>
      <c r="B546">
        <f ca="1">OFFSET($O$1,0,MOD(ROW(546:546)-2,35))</f>
        <v>2009</v>
      </c>
      <c r="C546">
        <f ca="1" t="shared" si="88"/>
        <v>0.25003104</v>
      </c>
      <c r="D546">
        <f ca="1" t="shared" si="89"/>
        <v>6</v>
      </c>
      <c r="E546">
        <f ca="1" t="shared" si="90"/>
        <v>0</v>
      </c>
      <c r="F546">
        <f ca="1" t="shared" si="91"/>
        <v>0.453547972192</v>
      </c>
      <c r="G546">
        <f ca="1" t="shared" si="92"/>
        <v>0.0621402143712</v>
      </c>
      <c r="H546">
        <f ca="1" t="shared" si="93"/>
        <v>0.556469082624</v>
      </c>
      <c r="I546">
        <f ca="1" t="shared" si="94"/>
        <v>1472</v>
      </c>
      <c r="J546">
        <f ca="1" t="shared" si="95"/>
        <v>35</v>
      </c>
      <c r="K546">
        <f ca="1" t="shared" si="96"/>
        <v>20047</v>
      </c>
      <c r="L546">
        <f ca="1" t="shared" si="97"/>
        <v>2643</v>
      </c>
      <c r="M546">
        <f ca="1" t="shared" si="98"/>
        <v>0.0198903264192</v>
      </c>
    </row>
    <row r="547" spans="1:13">
      <c r="A547" t="str">
        <f ca="1">OFFSET($N$2,(ROW(547:547)-2)/35,0)</f>
        <v>河南省</v>
      </c>
      <c r="B547">
        <f ca="1">OFFSET($O$1,0,MOD(ROW(547:547)-2,35))</f>
        <v>2010</v>
      </c>
      <c r="C547">
        <f ca="1" t="shared" si="88"/>
        <v>0.2617272</v>
      </c>
      <c r="D547">
        <f ca="1" t="shared" si="89"/>
        <v>6</v>
      </c>
      <c r="E547">
        <f ca="1" t="shared" si="90"/>
        <v>1</v>
      </c>
      <c r="F547">
        <f ca="1" t="shared" si="91"/>
        <v>0.47615157072</v>
      </c>
      <c r="G547">
        <f ca="1" t="shared" si="92"/>
        <v>0.062414085384</v>
      </c>
      <c r="H547">
        <f ca="1" t="shared" si="93"/>
        <v>0.54691824348</v>
      </c>
      <c r="I547">
        <f ca="1" t="shared" si="94"/>
        <v>1131</v>
      </c>
      <c r="J547">
        <f ca="1" t="shared" si="95"/>
        <v>44</v>
      </c>
      <c r="K547">
        <f ca="1" t="shared" si="96"/>
        <v>22552</v>
      </c>
      <c r="L547">
        <f ca="1" t="shared" si="97"/>
        <v>3022</v>
      </c>
      <c r="M547">
        <f ca="1" t="shared" si="98"/>
        <v>0.021578285952</v>
      </c>
    </row>
    <row r="548" spans="1:13">
      <c r="A548" t="str">
        <f ca="1">OFFSET($N$2,(ROW(548:548)-2)/35,0)</f>
        <v>河南省</v>
      </c>
      <c r="B548">
        <f ca="1">OFFSET($O$1,0,MOD(ROW(548:548)-2,35))</f>
        <v>2011</v>
      </c>
      <c r="C548">
        <f ca="1" t="shared" si="88"/>
        <v>0.27464388</v>
      </c>
      <c r="D548">
        <f ca="1" t="shared" si="89"/>
        <v>6</v>
      </c>
      <c r="E548">
        <f ca="1" t="shared" si="90"/>
        <v>1</v>
      </c>
      <c r="F548">
        <f ca="1" t="shared" si="91"/>
        <v>0.5170171041</v>
      </c>
      <c r="G548">
        <f ca="1" t="shared" si="92"/>
        <v>0.0654050668026</v>
      </c>
      <c r="H548">
        <f ca="1" t="shared" si="93"/>
        <v>0.551635965174</v>
      </c>
      <c r="I548">
        <f ca="1" t="shared" si="94"/>
        <v>1266</v>
      </c>
      <c r="J548">
        <f ca="1" t="shared" si="95"/>
        <v>33</v>
      </c>
      <c r="K548">
        <f ca="1" t="shared" si="96"/>
        <v>22658</v>
      </c>
      <c r="L548">
        <f ca="1" t="shared" si="97"/>
        <v>4065</v>
      </c>
      <c r="M548">
        <f ca="1" t="shared" si="98"/>
        <v>0.021704713488</v>
      </c>
    </row>
    <row r="549" spans="1:13">
      <c r="A549" t="str">
        <f ca="1">OFFSET($N$2,(ROW(549:549)-2)/35,0)</f>
        <v>河南省</v>
      </c>
      <c r="B549">
        <f ca="1">OFFSET($O$1,0,MOD(ROW(549:549)-2,35))</f>
        <v>2012</v>
      </c>
      <c r="C549">
        <f ca="1" t="shared" si="88"/>
        <v>0.27893376</v>
      </c>
      <c r="D549">
        <f ca="1" t="shared" si="89"/>
        <v>6</v>
      </c>
      <c r="E549">
        <f ca="1" t="shared" si="90"/>
        <v>1</v>
      </c>
      <c r="F549">
        <f ca="1" t="shared" si="91"/>
        <v>0.501374135808</v>
      </c>
      <c r="G549">
        <f ca="1" t="shared" si="92"/>
        <v>0.064336071744</v>
      </c>
      <c r="H549">
        <f ca="1" t="shared" si="93"/>
        <v>0.62536948992</v>
      </c>
      <c r="I549">
        <f ca="1" t="shared" si="94"/>
        <v>1333</v>
      </c>
      <c r="J549">
        <f ca="1" t="shared" si="95"/>
        <v>35</v>
      </c>
      <c r="K549">
        <f ca="1" t="shared" si="96"/>
        <v>29037</v>
      </c>
      <c r="L549">
        <f ca="1" t="shared" si="97"/>
        <v>3769</v>
      </c>
      <c r="M549">
        <f ca="1" t="shared" si="98"/>
        <v>0.02139820416</v>
      </c>
    </row>
    <row r="550" spans="1:13">
      <c r="A550" t="str">
        <f ca="1">OFFSET($N$2,(ROW(550:550)-2)/35,0)</f>
        <v>河南省</v>
      </c>
      <c r="B550">
        <f ca="1">OFFSET($O$1,0,MOD(ROW(550:550)-2,35))</f>
        <v>2013</v>
      </c>
      <c r="C550">
        <f ca="1" t="shared" si="88"/>
        <v>0.27792072</v>
      </c>
      <c r="D550">
        <f ca="1" t="shared" si="89"/>
        <v>6</v>
      </c>
      <c r="E550">
        <f ca="1" t="shared" si="90"/>
        <v>1</v>
      </c>
      <c r="F550">
        <f ca="1" t="shared" si="91"/>
        <v>0.50966028036</v>
      </c>
      <c r="G550">
        <f ca="1" t="shared" si="92"/>
        <v>0.062476577856</v>
      </c>
      <c r="H550">
        <f ca="1" t="shared" si="93"/>
        <v>0.597682404396</v>
      </c>
      <c r="I550">
        <f ca="1" t="shared" si="94"/>
        <v>1320</v>
      </c>
      <c r="J550">
        <f ca="1" t="shared" si="95"/>
        <v>53</v>
      </c>
      <c r="K550">
        <f ca="1" t="shared" si="96"/>
        <v>28348</v>
      </c>
      <c r="L550">
        <f ca="1" t="shared" si="97"/>
        <v>4083</v>
      </c>
      <c r="M550">
        <f ca="1" t="shared" si="98"/>
        <v>0.0200571413328</v>
      </c>
    </row>
    <row r="551" spans="1:13">
      <c r="A551" t="str">
        <f ca="1">OFFSET($N$2,(ROW(551:551)-2)/35,0)</f>
        <v>河南省</v>
      </c>
      <c r="B551">
        <f ca="1">OFFSET($O$1,0,MOD(ROW(551:551)-2,35))</f>
        <v>2014</v>
      </c>
      <c r="C551">
        <f ca="1" t="shared" si="88"/>
        <v>0.31127544</v>
      </c>
      <c r="D551">
        <f ca="1" t="shared" si="89"/>
        <v>6</v>
      </c>
      <c r="E551">
        <f ca="1" t="shared" si="90"/>
        <v>1</v>
      </c>
      <c r="F551">
        <f ca="1" t="shared" si="91"/>
        <v>0.58696172136</v>
      </c>
      <c r="G551">
        <f ca="1" t="shared" si="92"/>
        <v>0.0645927665544</v>
      </c>
      <c r="H551">
        <f ca="1" t="shared" si="93"/>
        <v>0.719886710088</v>
      </c>
      <c r="I551">
        <f ca="1" t="shared" si="94"/>
        <v>1465</v>
      </c>
      <c r="J551">
        <f ca="1" t="shared" si="95"/>
        <v>34</v>
      </c>
      <c r="K551">
        <f ca="1" t="shared" si="96"/>
        <v>21949</v>
      </c>
      <c r="L551">
        <f ca="1" t="shared" si="97"/>
        <v>4347</v>
      </c>
      <c r="M551">
        <f ca="1" t="shared" si="98"/>
        <v>0.0242741481696</v>
      </c>
    </row>
    <row r="552" spans="1:13">
      <c r="A552" t="str">
        <f ca="1">OFFSET($N$2,(ROW(552:552)-2)/35,0)</f>
        <v>河南省</v>
      </c>
      <c r="B552">
        <f ca="1">OFFSET($O$1,0,MOD(ROW(552:552)-2,35))</f>
        <v>2015</v>
      </c>
      <c r="C552">
        <f ca="1" t="shared" si="88"/>
        <v>0.307818</v>
      </c>
      <c r="D552">
        <f ca="1" t="shared" si="89"/>
        <v>6</v>
      </c>
      <c r="E552">
        <f ca="1" t="shared" si="90"/>
        <v>1</v>
      </c>
      <c r="F552">
        <f ca="1" t="shared" si="91"/>
        <v>0.5528513886</v>
      </c>
      <c r="G552">
        <f ca="1" t="shared" si="92"/>
        <v>0.06999319593</v>
      </c>
      <c r="H552">
        <f ca="1" t="shared" si="93"/>
        <v>0.6517584423</v>
      </c>
      <c r="I552">
        <f ca="1" t="shared" si="94"/>
        <v>1400</v>
      </c>
      <c r="J552">
        <f ca="1" t="shared" si="95"/>
        <v>58</v>
      </c>
      <c r="K552">
        <f ca="1" t="shared" si="96"/>
        <v>19817</v>
      </c>
      <c r="L552">
        <f ca="1" t="shared" si="97"/>
        <v>4350</v>
      </c>
      <c r="M552">
        <f ca="1" t="shared" si="98"/>
        <v>0.02623972554</v>
      </c>
    </row>
    <row r="553" spans="1:13">
      <c r="A553" t="str">
        <f ca="1">OFFSET($N$2,(ROW(553:553)-2)/35,0)</f>
        <v>河南省</v>
      </c>
      <c r="B553">
        <f ca="1">OFFSET($O$1,0,MOD(ROW(553:553)-2,35))</f>
        <v>2016</v>
      </c>
      <c r="C553">
        <f ca="1" t="shared" si="88"/>
        <v>0.3249288</v>
      </c>
      <c r="D553">
        <f ca="1" t="shared" si="89"/>
        <v>6</v>
      </c>
      <c r="E553">
        <f ca="1" t="shared" si="90"/>
        <v>1</v>
      </c>
      <c r="F553">
        <f ca="1" t="shared" si="91"/>
        <v>0.57800501136</v>
      </c>
      <c r="G553">
        <f ca="1" t="shared" si="92"/>
        <v>0.077992659864</v>
      </c>
      <c r="H553">
        <f ca="1" t="shared" si="93"/>
        <v>0.76125943908</v>
      </c>
      <c r="I553">
        <f ca="1" t="shared" si="94"/>
        <v>1397</v>
      </c>
      <c r="J553">
        <f ca="1" t="shared" si="95"/>
        <v>89</v>
      </c>
      <c r="K553">
        <f ca="1" t="shared" si="96"/>
        <v>22917</v>
      </c>
      <c r="L553">
        <f ca="1" t="shared" si="97"/>
        <v>5856</v>
      </c>
      <c r="M553">
        <f ca="1" t="shared" si="98"/>
        <v>0.023619538656</v>
      </c>
    </row>
    <row r="554" spans="1:13">
      <c r="A554" t="str">
        <f ca="1">OFFSET($N$2,(ROW(554:554)-2)/35,0)</f>
        <v>河南省</v>
      </c>
      <c r="B554">
        <f ca="1">OFFSET($O$1,0,MOD(ROW(554:554)-2,35))</f>
        <v>2017</v>
      </c>
      <c r="C554">
        <f ca="1" t="shared" si="88"/>
        <v>0.33945576</v>
      </c>
      <c r="D554">
        <f ca="1" t="shared" si="89"/>
        <v>7</v>
      </c>
      <c r="E554">
        <f ca="1" t="shared" si="90"/>
        <v>1</v>
      </c>
      <c r="F554">
        <f ca="1" t="shared" si="91"/>
        <v>0.662934468896</v>
      </c>
      <c r="G554">
        <f ca="1" t="shared" si="92"/>
        <v>0.082224671466</v>
      </c>
      <c r="H554">
        <f ca="1" t="shared" si="93"/>
        <v>0.792934709784</v>
      </c>
      <c r="I554">
        <f ca="1" t="shared" si="94"/>
        <v>1565</v>
      </c>
      <c r="J554">
        <f ca="1" t="shared" si="95"/>
        <v>55</v>
      </c>
      <c r="K554">
        <f ca="1" t="shared" si="96"/>
        <v>32993</v>
      </c>
      <c r="L554">
        <f ca="1" t="shared" si="97"/>
        <v>5166</v>
      </c>
      <c r="M554">
        <f ca="1" t="shared" si="98"/>
        <v>0.0243603152112</v>
      </c>
    </row>
    <row r="555" spans="1:13">
      <c r="A555" t="str">
        <f ca="1">OFFSET($N$2,(ROW(555:555)-2)/35,0)</f>
        <v>河南省</v>
      </c>
      <c r="B555">
        <f ca="1">OFFSET($O$1,0,MOD(ROW(555:555)-2,35))</f>
        <v>2018</v>
      </c>
      <c r="C555">
        <f ca="1" t="shared" si="88"/>
        <v>0.3334044</v>
      </c>
      <c r="D555">
        <f ca="1" t="shared" si="89"/>
        <v>7</v>
      </c>
      <c r="E555">
        <f ca="1" t="shared" si="90"/>
        <v>1</v>
      </c>
      <c r="F555">
        <f ca="1" t="shared" si="91"/>
        <v>0.63370174308</v>
      </c>
      <c r="G555">
        <f ca="1" t="shared" si="92"/>
        <v>0.067812787938</v>
      </c>
      <c r="H555">
        <f ca="1" t="shared" si="93"/>
        <v>0.82152511182</v>
      </c>
      <c r="I555">
        <f ca="1" t="shared" si="94"/>
        <v>1936</v>
      </c>
      <c r="J555">
        <f ca="1" t="shared" si="95"/>
        <v>228</v>
      </c>
      <c r="K555">
        <f ca="1" t="shared" si="96"/>
        <v>33099</v>
      </c>
      <c r="L555">
        <f ca="1" t="shared" si="97"/>
        <v>4834</v>
      </c>
      <c r="M555">
        <f ca="1" t="shared" si="98"/>
        <v>0.026375145792</v>
      </c>
    </row>
    <row r="556" spans="1:13">
      <c r="A556" t="str">
        <f ca="1">OFFSET($N$2,(ROW(556:556)-2)/35,0)</f>
        <v>河南省</v>
      </c>
      <c r="B556">
        <f ca="1">OFFSET($O$1,0,MOD(ROW(556:556)-2,35))</f>
        <v>2019</v>
      </c>
      <c r="C556">
        <f ca="1" t="shared" si="88"/>
        <v>0.33844356</v>
      </c>
      <c r="D556">
        <f ca="1" t="shared" si="89"/>
        <v>7</v>
      </c>
      <c r="E556">
        <f ca="1" t="shared" si="90"/>
        <v>1</v>
      </c>
      <c r="F556">
        <f ca="1" t="shared" si="91"/>
        <v>0.61946452932</v>
      </c>
      <c r="G556">
        <f ca="1" t="shared" si="92"/>
        <v>0.0713675934972</v>
      </c>
      <c r="H556">
        <f ca="1" t="shared" si="93"/>
        <v>0.739685322558</v>
      </c>
      <c r="I556">
        <f ca="1" t="shared" si="94"/>
        <v>1508</v>
      </c>
      <c r="J556">
        <f ca="1" t="shared" si="95"/>
        <v>312</v>
      </c>
      <c r="K556">
        <f ca="1" t="shared" si="96"/>
        <v>26059</v>
      </c>
      <c r="L556">
        <f ca="1" t="shared" si="97"/>
        <v>5118</v>
      </c>
      <c r="M556">
        <f ca="1" t="shared" si="98"/>
        <v>0.0289142003124</v>
      </c>
    </row>
    <row r="557" spans="1:13">
      <c r="A557" t="str">
        <f ca="1">OFFSET($N$2,(ROW(557:557)-2)/35,0)</f>
        <v>河南省</v>
      </c>
      <c r="B557">
        <f ca="1">OFFSET($O$1,0,MOD(ROW(557:557)-2,35))</f>
        <v>2020</v>
      </c>
      <c r="C557">
        <f ca="1" t="shared" si="88"/>
        <v>0.3369408</v>
      </c>
      <c r="D557">
        <f ca="1" t="shared" si="89"/>
        <v>7</v>
      </c>
      <c r="E557">
        <f ca="1" t="shared" si="90"/>
        <v>1</v>
      </c>
      <c r="F557">
        <f ca="1" t="shared" si="91"/>
        <v>0.67346603968</v>
      </c>
      <c r="G557">
        <f ca="1" t="shared" si="92"/>
        <v>0.077607574464</v>
      </c>
      <c r="H557">
        <f ca="1" t="shared" si="93"/>
        <v>0.81918732</v>
      </c>
      <c r="I557">
        <f ca="1" t="shared" si="94"/>
        <v>1670</v>
      </c>
      <c r="J557">
        <f ca="1" t="shared" si="95"/>
        <v>240</v>
      </c>
      <c r="K557">
        <f ca="1" t="shared" si="96"/>
        <v>26158</v>
      </c>
      <c r="L557">
        <f ca="1" t="shared" si="97"/>
        <v>4369</v>
      </c>
      <c r="M557">
        <f ca="1" t="shared" si="98"/>
        <v>0.025222906944</v>
      </c>
    </row>
    <row r="558" spans="1:13">
      <c r="A558" t="str">
        <f ca="1">OFFSET($N$2,(ROW(558:558)-2)/35,0)</f>
        <v>河南省</v>
      </c>
      <c r="B558">
        <f ca="1">OFFSET($O$1,0,MOD(ROW(558:558)-2,35))</f>
        <v>2021</v>
      </c>
      <c r="C558">
        <f ca="1" t="shared" si="88"/>
        <v>0.3507714</v>
      </c>
      <c r="D558">
        <f ca="1" t="shared" si="89"/>
        <v>7</v>
      </c>
      <c r="E558">
        <f ca="1" t="shared" si="90"/>
        <v>1</v>
      </c>
      <c r="F558">
        <f ca="1" t="shared" si="91"/>
        <v>0.68257775964</v>
      </c>
      <c r="G558">
        <f ca="1" t="shared" si="92"/>
        <v>0.085386528045</v>
      </c>
      <c r="H558">
        <f ca="1" t="shared" si="93"/>
        <v>0.84381567984</v>
      </c>
      <c r="I558">
        <f ca="1" t="shared" si="94"/>
        <v>2090</v>
      </c>
      <c r="J558">
        <f ca="1" t="shared" si="95"/>
        <v>274</v>
      </c>
      <c r="K558">
        <f ca="1" t="shared" si="96"/>
        <v>31504</v>
      </c>
      <c r="L558">
        <f ca="1" t="shared" si="97"/>
        <v>4032</v>
      </c>
      <c r="M558">
        <f ca="1" t="shared" si="98"/>
        <v>0.027528539472</v>
      </c>
    </row>
    <row r="559" spans="1:13">
      <c r="A559" t="str">
        <f ca="1">OFFSET($N$2,(ROW(559:559)-2)/35,0)</f>
        <v>河南省</v>
      </c>
      <c r="B559">
        <f ca="1">OFFSET($O$1,0,MOD(ROW(559:559)-2,35))</f>
        <v>2022</v>
      </c>
      <c r="C559">
        <f ca="1" t="shared" si="88"/>
        <v>0.38328192</v>
      </c>
      <c r="D559">
        <f ca="1" t="shared" si="89"/>
        <v>8</v>
      </c>
      <c r="E559">
        <f ca="1" t="shared" si="90"/>
        <v>1</v>
      </c>
      <c r="F559">
        <f ca="1" t="shared" si="91"/>
        <v>0.662528350848</v>
      </c>
      <c r="G559">
        <f ca="1" t="shared" si="92"/>
        <v>0.0879172068096</v>
      </c>
      <c r="H559">
        <f ca="1" t="shared" si="93"/>
        <v>0.864549862848</v>
      </c>
      <c r="I559">
        <f ca="1" t="shared" si="94"/>
        <v>2116</v>
      </c>
      <c r="J559">
        <f ca="1" t="shared" si="95"/>
        <v>314</v>
      </c>
      <c r="K559">
        <f ca="1" t="shared" si="96"/>
        <v>37726</v>
      </c>
      <c r="L559">
        <f ca="1" t="shared" si="97"/>
        <v>6580</v>
      </c>
      <c r="M559">
        <f ca="1" t="shared" si="98"/>
        <v>0.0300542304384</v>
      </c>
    </row>
    <row r="560" spans="1:13">
      <c r="A560" t="str">
        <f ca="1">OFFSET($N$2,(ROW(560:560)-2)/35,0)</f>
        <v>河南省</v>
      </c>
      <c r="B560">
        <f ca="1">OFFSET($O$1,0,MOD(ROW(560:560)-2,35))</f>
        <v>2023</v>
      </c>
      <c r="C560">
        <f ca="1" t="shared" si="88"/>
        <v>0.39432204</v>
      </c>
      <c r="D560">
        <f ca="1" t="shared" si="89"/>
        <v>8</v>
      </c>
      <c r="E560">
        <f ca="1" t="shared" si="90"/>
        <v>1</v>
      </c>
      <c r="F560">
        <f ca="1" t="shared" si="91"/>
        <v>0.687382180128</v>
      </c>
      <c r="G560">
        <f ca="1" t="shared" si="92"/>
        <v>0.0977583485466</v>
      </c>
      <c r="H560">
        <f ca="1" t="shared" si="93"/>
        <v>0.826479279738</v>
      </c>
      <c r="I560">
        <f ca="1" t="shared" si="94"/>
        <v>2025</v>
      </c>
      <c r="J560">
        <f ca="1" t="shared" si="95"/>
        <v>348</v>
      </c>
      <c r="K560">
        <f ca="1" t="shared" si="96"/>
        <v>44877</v>
      </c>
      <c r="L560">
        <f ca="1" t="shared" si="97"/>
        <v>5461</v>
      </c>
      <c r="M560">
        <f ca="1" t="shared" si="98"/>
        <v>0.02926432854</v>
      </c>
    </row>
    <row r="561" spans="1:13">
      <c r="A561" t="str">
        <f ca="1">OFFSET($N$2,(ROW(561:561)-2)/35,0)</f>
        <v>河南省</v>
      </c>
      <c r="B561">
        <f ca="1">OFFSET($O$1,0,MOD(ROW(561:561)-2,35))</f>
        <v>2024</v>
      </c>
      <c r="C561">
        <f ca="1" t="shared" si="88"/>
        <v>0.37983792</v>
      </c>
      <c r="D561">
        <f ca="1" t="shared" si="89"/>
        <v>8</v>
      </c>
      <c r="E561">
        <f ca="1" t="shared" si="90"/>
        <v>1</v>
      </c>
      <c r="F561">
        <f ca="1" t="shared" si="91"/>
        <v>0.757801972928</v>
      </c>
      <c r="G561">
        <f ca="1" t="shared" si="92"/>
        <v>0.0846164934384</v>
      </c>
      <c r="H561">
        <f ca="1" t="shared" si="93"/>
        <v>0.907888596384</v>
      </c>
      <c r="I561">
        <f ca="1" t="shared" si="94"/>
        <v>1622</v>
      </c>
      <c r="J561">
        <f ca="1" t="shared" si="95"/>
        <v>243</v>
      </c>
      <c r="K561">
        <f ca="1" t="shared" si="96"/>
        <v>29092</v>
      </c>
      <c r="L561">
        <f ca="1" t="shared" si="97"/>
        <v>6589</v>
      </c>
      <c r="M561">
        <f ca="1" t="shared" si="98"/>
        <v>0.0273765467712</v>
      </c>
    </row>
    <row r="562" spans="1:13">
      <c r="A562" t="str">
        <f ca="1">OFFSET($N$2,(ROW(562:562)-2)/35,0)</f>
        <v>湖北省</v>
      </c>
      <c r="B562">
        <f ca="1">OFFSET($O$1,0,MOD(ROW(562:562)-2,35))</f>
        <v>1990</v>
      </c>
      <c r="C562">
        <f ca="1" t="shared" si="88"/>
        <v>0.0844704</v>
      </c>
      <c r="D562">
        <f ca="1" t="shared" si="89"/>
        <v>3</v>
      </c>
      <c r="E562">
        <f ca="1" t="shared" si="90"/>
        <v>0</v>
      </c>
      <c r="F562">
        <f ca="1" t="shared" si="91"/>
        <v>0.1520044848</v>
      </c>
      <c r="G562">
        <f ca="1" t="shared" si="92"/>
        <v>0.02065723632</v>
      </c>
      <c r="H562">
        <f ca="1" t="shared" si="93"/>
        <v>0.19358081568</v>
      </c>
      <c r="I562">
        <f ca="1" t="shared" si="94"/>
        <v>423</v>
      </c>
      <c r="J562">
        <f ca="1" t="shared" si="95"/>
        <v>11</v>
      </c>
      <c r="K562">
        <f ca="1" t="shared" si="96"/>
        <v>5446</v>
      </c>
      <c r="L562">
        <f ca="1" t="shared" si="97"/>
        <v>1446</v>
      </c>
      <c r="M562">
        <f ca="1" t="shared" si="98"/>
        <v>0.007202549664</v>
      </c>
    </row>
    <row r="563" spans="1:13">
      <c r="A563" t="str">
        <f ca="1">OFFSET($N$2,(ROW(563:563)-2)/35,0)</f>
        <v>湖北省</v>
      </c>
      <c r="B563">
        <f ca="1">OFFSET($O$1,0,MOD(ROW(563:563)-2,35))</f>
        <v>1991</v>
      </c>
      <c r="C563">
        <f ca="1" t="shared" si="88"/>
        <v>0.0969738</v>
      </c>
      <c r="D563">
        <f ca="1" t="shared" si="89"/>
        <v>3</v>
      </c>
      <c r="E563">
        <f ca="1" t="shared" si="90"/>
        <v>1</v>
      </c>
      <c r="F563">
        <f ca="1" t="shared" si="91"/>
        <v>0.1885332295</v>
      </c>
      <c r="G563">
        <f ca="1" t="shared" si="92"/>
        <v>0.02059238643</v>
      </c>
      <c r="H563">
        <f ca="1" t="shared" si="93"/>
        <v>0.2366645589</v>
      </c>
      <c r="I563">
        <f ca="1" t="shared" si="94"/>
        <v>518</v>
      </c>
      <c r="J563">
        <f ca="1" t="shared" si="95"/>
        <v>18</v>
      </c>
      <c r="K563">
        <f ca="1" t="shared" si="96"/>
        <v>6880</v>
      </c>
      <c r="L563">
        <f ca="1" t="shared" si="97"/>
        <v>1648</v>
      </c>
      <c r="M563">
        <f ca="1" t="shared" si="98"/>
        <v>0.0078895113</v>
      </c>
    </row>
    <row r="564" spans="1:13">
      <c r="A564" t="str">
        <f ca="1">OFFSET($N$2,(ROW(564:564)-2)/35,0)</f>
        <v>湖北省</v>
      </c>
      <c r="B564">
        <f ca="1">OFFSET($O$1,0,MOD(ROW(564:564)-2,35))</f>
        <v>1992</v>
      </c>
      <c r="C564">
        <f ca="1" t="shared" si="88"/>
        <v>0.1045296</v>
      </c>
      <c r="D564">
        <f ca="1" t="shared" si="89"/>
        <v>3</v>
      </c>
      <c r="E564">
        <f ca="1" t="shared" si="90"/>
        <v>2</v>
      </c>
      <c r="F564">
        <f ca="1" t="shared" si="91"/>
        <v>0.2060278416</v>
      </c>
      <c r="G564">
        <f ca="1" t="shared" si="92"/>
        <v>0.024629787</v>
      </c>
      <c r="H564">
        <f ca="1" t="shared" si="93"/>
        <v>0.21762017424</v>
      </c>
      <c r="I564">
        <f ca="1" t="shared" si="94"/>
        <v>591</v>
      </c>
      <c r="J564">
        <f ca="1" t="shared" si="95"/>
        <v>16</v>
      </c>
      <c r="K564">
        <f ca="1" t="shared" si="96"/>
        <v>12292</v>
      </c>
      <c r="L564">
        <f ca="1" t="shared" si="97"/>
        <v>1488</v>
      </c>
      <c r="M564">
        <f ca="1" t="shared" si="98"/>
        <v>0.008802437616</v>
      </c>
    </row>
    <row r="565" spans="1:13">
      <c r="A565" t="str">
        <f ca="1">OFFSET($N$2,(ROW(565:565)-2)/35,0)</f>
        <v>湖北省</v>
      </c>
      <c r="B565">
        <f ca="1">OFFSET($O$1,0,MOD(ROW(565:565)-2,35))</f>
        <v>1993</v>
      </c>
      <c r="C565">
        <f ca="1" t="shared" si="88"/>
        <v>0.11670204</v>
      </c>
      <c r="D565">
        <f ca="1" t="shared" si="89"/>
        <v>3</v>
      </c>
      <c r="E565">
        <f ca="1" t="shared" si="90"/>
        <v>2</v>
      </c>
      <c r="F565">
        <f ca="1" t="shared" si="91"/>
        <v>0.218380637384</v>
      </c>
      <c r="G565">
        <f ca="1" t="shared" si="92"/>
        <v>0.0254101186794</v>
      </c>
      <c r="H565">
        <f ca="1" t="shared" si="93"/>
        <v>0.26339650428</v>
      </c>
      <c r="I565">
        <f ca="1" t="shared" si="94"/>
        <v>674</v>
      </c>
      <c r="J565">
        <f ca="1" t="shared" si="95"/>
        <v>19</v>
      </c>
      <c r="K565">
        <f ca="1" t="shared" si="96"/>
        <v>11806</v>
      </c>
      <c r="L565">
        <f ca="1" t="shared" si="97"/>
        <v>1878</v>
      </c>
      <c r="M565">
        <f ca="1" t="shared" si="98"/>
        <v>0.0084785699232</v>
      </c>
    </row>
    <row r="566" spans="1:13">
      <c r="A566" t="str">
        <f ca="1">OFFSET($N$2,(ROW(566:566)-2)/35,0)</f>
        <v>湖北省</v>
      </c>
      <c r="B566">
        <f ca="1">OFFSET($O$1,0,MOD(ROW(566:566)-2,35))</f>
        <v>1994</v>
      </c>
      <c r="C566">
        <f ca="1" t="shared" si="88"/>
        <v>0.12789</v>
      </c>
      <c r="D566">
        <f ca="1" t="shared" si="89"/>
        <v>3</v>
      </c>
      <c r="E566">
        <f ca="1" t="shared" si="90"/>
        <v>2</v>
      </c>
      <c r="F566">
        <f ca="1" t="shared" si="91"/>
        <v>0.228236757</v>
      </c>
      <c r="G566">
        <f ca="1" t="shared" si="92"/>
        <v>0.0294709716</v>
      </c>
      <c r="H566">
        <f ca="1" t="shared" si="93"/>
        <v>0.3144111705</v>
      </c>
      <c r="I566">
        <f ca="1" t="shared" si="94"/>
        <v>517</v>
      </c>
      <c r="J566">
        <f ca="1" t="shared" si="95"/>
        <v>13</v>
      </c>
      <c r="K566">
        <f ca="1" t="shared" si="96"/>
        <v>15143</v>
      </c>
      <c r="L566">
        <f ca="1" t="shared" si="97"/>
        <v>2240</v>
      </c>
      <c r="M566">
        <f ca="1" t="shared" si="98"/>
        <v>0.0091534527</v>
      </c>
    </row>
    <row r="567" spans="1:13">
      <c r="A567" t="str">
        <f ca="1">OFFSET($N$2,(ROW(567:567)-2)/35,0)</f>
        <v>湖北省</v>
      </c>
      <c r="B567">
        <f ca="1">OFFSET($O$1,0,MOD(ROW(567:567)-2,35))</f>
        <v>1995</v>
      </c>
      <c r="C567">
        <f ca="1" t="shared" si="88"/>
        <v>0.1348074</v>
      </c>
      <c r="D567">
        <f ca="1" t="shared" si="89"/>
        <v>3</v>
      </c>
      <c r="E567">
        <f ca="1" t="shared" si="90"/>
        <v>2</v>
      </c>
      <c r="F567">
        <f ca="1" t="shared" si="91"/>
        <v>0.24475631544</v>
      </c>
      <c r="G567">
        <f ca="1" t="shared" si="92"/>
        <v>0.02861961102</v>
      </c>
      <c r="H567">
        <f ca="1" t="shared" si="93"/>
        <v>0.31390577127</v>
      </c>
      <c r="I567">
        <f ca="1" t="shared" si="94"/>
        <v>673</v>
      </c>
      <c r="J567">
        <f ca="1" t="shared" si="95"/>
        <v>18</v>
      </c>
      <c r="K567">
        <f ca="1" t="shared" si="96"/>
        <v>8883</v>
      </c>
      <c r="L567">
        <f ca="1" t="shared" si="97"/>
        <v>1561</v>
      </c>
      <c r="M567">
        <f ca="1" t="shared" si="98"/>
        <v>0.010625519268</v>
      </c>
    </row>
    <row r="568" spans="1:13">
      <c r="A568" t="str">
        <f ca="1">OFFSET($N$2,(ROW(568:568)-2)/35,0)</f>
        <v>湖北省</v>
      </c>
      <c r="B568">
        <f ca="1">OFFSET($O$1,0,MOD(ROW(568:568)-2,35))</f>
        <v>1996</v>
      </c>
      <c r="C568">
        <f ca="1" t="shared" si="88"/>
        <v>0.14063616</v>
      </c>
      <c r="D568">
        <f ca="1" t="shared" si="89"/>
        <v>3</v>
      </c>
      <c r="E568">
        <f ca="1" t="shared" si="90"/>
        <v>2</v>
      </c>
      <c r="F568">
        <f ca="1" t="shared" si="91"/>
        <v>0.241017563136</v>
      </c>
      <c r="G568">
        <f ca="1" t="shared" si="92"/>
        <v>0.0339699612672</v>
      </c>
      <c r="H568">
        <f ca="1" t="shared" si="93"/>
        <v>0.30293028864</v>
      </c>
      <c r="I568">
        <f ca="1" t="shared" si="94"/>
        <v>683</v>
      </c>
      <c r="J568">
        <f ca="1" t="shared" si="95"/>
        <v>20</v>
      </c>
      <c r="K568">
        <f ca="1" t="shared" si="96"/>
        <v>13260</v>
      </c>
      <c r="L568">
        <f ca="1" t="shared" si="97"/>
        <v>1900</v>
      </c>
      <c r="M568">
        <f ca="1" t="shared" si="98"/>
        <v>0.010546707456</v>
      </c>
    </row>
    <row r="569" spans="1:13">
      <c r="A569" t="str">
        <f ca="1">OFFSET($N$2,(ROW(569:569)-2)/35,0)</f>
        <v>湖北省</v>
      </c>
      <c r="B569">
        <f ca="1">OFFSET($O$1,0,MOD(ROW(569:569)-2,35))</f>
        <v>1997</v>
      </c>
      <c r="C569">
        <f ca="1" t="shared" si="88"/>
        <v>0.1532244</v>
      </c>
      <c r="D569">
        <f ca="1" t="shared" si="89"/>
        <v>3</v>
      </c>
      <c r="E569">
        <f ca="1" t="shared" si="90"/>
        <v>2</v>
      </c>
      <c r="F569">
        <f ca="1" t="shared" si="91"/>
        <v>0.27094159904</v>
      </c>
      <c r="G569">
        <f ca="1" t="shared" si="92"/>
        <v>0.036667365042</v>
      </c>
      <c r="H569">
        <f ca="1" t="shared" si="93"/>
        <v>0.381528756</v>
      </c>
      <c r="I569">
        <f ca="1" t="shared" si="94"/>
        <v>739</v>
      </c>
      <c r="J569">
        <f ca="1" t="shared" si="95"/>
        <v>22</v>
      </c>
      <c r="K569">
        <f ca="1" t="shared" si="96"/>
        <v>9603</v>
      </c>
      <c r="L569">
        <f ca="1" t="shared" si="97"/>
        <v>2236</v>
      </c>
      <c r="M569">
        <f ca="1" t="shared" si="98"/>
        <v>0.012377904816</v>
      </c>
    </row>
    <row r="570" spans="1:13">
      <c r="A570" t="str">
        <f ca="1">OFFSET($N$2,(ROW(570:570)-2)/35,0)</f>
        <v>湖北省</v>
      </c>
      <c r="B570">
        <f ca="1">OFFSET($O$1,0,MOD(ROW(570:570)-2,35))</f>
        <v>1998</v>
      </c>
      <c r="C570">
        <f ca="1" t="shared" si="88"/>
        <v>0.15191064</v>
      </c>
      <c r="D570">
        <f ca="1" t="shared" si="89"/>
        <v>3</v>
      </c>
      <c r="E570">
        <f ca="1" t="shared" si="90"/>
        <v>2</v>
      </c>
      <c r="F570">
        <f ca="1" t="shared" si="91"/>
        <v>0.303107299992</v>
      </c>
      <c r="G570">
        <f ca="1" t="shared" si="92"/>
        <v>0.0318837646764</v>
      </c>
      <c r="H570">
        <f ca="1" t="shared" si="93"/>
        <v>0.36352216152</v>
      </c>
      <c r="I570">
        <f ca="1" t="shared" si="94"/>
        <v>627</v>
      </c>
      <c r="J570">
        <f ca="1" t="shared" si="95"/>
        <v>18</v>
      </c>
      <c r="K570">
        <f ca="1" t="shared" si="96"/>
        <v>12547</v>
      </c>
      <c r="L570">
        <f ca="1" t="shared" si="97"/>
        <v>2097</v>
      </c>
      <c r="M570">
        <f ca="1" t="shared" si="98"/>
        <v>0.0112383491472</v>
      </c>
    </row>
    <row r="571" spans="1:13">
      <c r="A571" t="str">
        <f ca="1">OFFSET($N$2,(ROW(571:571)-2)/35,0)</f>
        <v>湖北省</v>
      </c>
      <c r="B571">
        <f ca="1">OFFSET($O$1,0,MOD(ROW(571:571)-2,35))</f>
        <v>1999</v>
      </c>
      <c r="C571">
        <f ca="1" t="shared" si="88"/>
        <v>0.16049376</v>
      </c>
      <c r="D571">
        <f ca="1" t="shared" si="89"/>
        <v>4</v>
      </c>
      <c r="E571">
        <f ca="1" t="shared" si="90"/>
        <v>2</v>
      </c>
      <c r="F571">
        <f ca="1" t="shared" si="91"/>
        <v>0.28479617712</v>
      </c>
      <c r="G571">
        <f ca="1" t="shared" si="92"/>
        <v>0.0361680712848</v>
      </c>
      <c r="H571">
        <f ca="1" t="shared" si="93"/>
        <v>0.329469615216</v>
      </c>
      <c r="I571">
        <f ca="1" t="shared" si="94"/>
        <v>885</v>
      </c>
      <c r="J571">
        <f ca="1" t="shared" si="95"/>
        <v>26</v>
      </c>
      <c r="K571">
        <f ca="1" t="shared" si="96"/>
        <v>18471</v>
      </c>
      <c r="L571">
        <f ca="1" t="shared" si="97"/>
        <v>2578</v>
      </c>
      <c r="M571">
        <f ca="1" t="shared" si="98"/>
        <v>0.011539501344</v>
      </c>
    </row>
    <row r="572" spans="1:13">
      <c r="A572" t="str">
        <f ca="1">OFFSET($N$2,(ROW(572:572)-2)/35,0)</f>
        <v>湖北省</v>
      </c>
      <c r="B572">
        <f ca="1">OFFSET($O$1,0,MOD(ROW(572:572)-2,35))</f>
        <v>2000</v>
      </c>
      <c r="C572">
        <f ca="1" t="shared" si="88"/>
        <v>0.1776936</v>
      </c>
      <c r="D572">
        <f ca="1" t="shared" si="89"/>
        <v>4</v>
      </c>
      <c r="E572">
        <f ca="1" t="shared" si="90"/>
        <v>2</v>
      </c>
      <c r="F572">
        <f ca="1" t="shared" si="91"/>
        <v>0.327844692</v>
      </c>
      <c r="G572">
        <f ca="1" t="shared" si="92"/>
        <v>0.036535581096</v>
      </c>
      <c r="H572">
        <f ca="1" t="shared" si="93"/>
        <v>0.44035139484</v>
      </c>
      <c r="I572">
        <f ca="1" t="shared" si="94"/>
        <v>942</v>
      </c>
      <c r="J572">
        <f ca="1" t="shared" si="95"/>
        <v>32</v>
      </c>
      <c r="K572">
        <f ca="1" t="shared" si="96"/>
        <v>12396</v>
      </c>
      <c r="L572">
        <f ca="1" t="shared" si="97"/>
        <v>1961</v>
      </c>
      <c r="M572">
        <f ca="1" t="shared" si="98"/>
        <v>0.01429925784</v>
      </c>
    </row>
    <row r="573" spans="1:13">
      <c r="A573" t="str">
        <f ca="1">OFFSET($N$2,(ROW(573:573)-2)/35,0)</f>
        <v>湖北省</v>
      </c>
      <c r="B573">
        <f ca="1">OFFSET($O$1,0,MOD(ROW(573:573)-2,35))</f>
        <v>2001</v>
      </c>
      <c r="C573">
        <f ca="1" t="shared" si="88"/>
        <v>0.18992988</v>
      </c>
      <c r="D573">
        <f ca="1" t="shared" si="89"/>
        <v>4</v>
      </c>
      <c r="E573">
        <f ca="1" t="shared" si="90"/>
        <v>2</v>
      </c>
      <c r="F573">
        <f ca="1" t="shared" si="91"/>
        <v>0.322557915204</v>
      </c>
      <c r="G573">
        <f ca="1" t="shared" si="92"/>
        <v>0.0389346757506</v>
      </c>
      <c r="H573">
        <f ca="1" t="shared" si="93"/>
        <v>0.469212272046</v>
      </c>
      <c r="I573">
        <f ca="1" t="shared" si="94"/>
        <v>781</v>
      </c>
      <c r="J573">
        <f ca="1" t="shared" si="95"/>
        <v>21</v>
      </c>
      <c r="K573">
        <f ca="1" t="shared" si="96"/>
        <v>17421</v>
      </c>
      <c r="L573">
        <f ca="1" t="shared" si="97"/>
        <v>2986</v>
      </c>
      <c r="M573">
        <f ca="1" t="shared" si="98"/>
        <v>0.0137294883684</v>
      </c>
    </row>
    <row r="574" spans="1:13">
      <c r="A574" t="str">
        <f ca="1">OFFSET($N$2,(ROW(574:574)-2)/35,0)</f>
        <v>湖北省</v>
      </c>
      <c r="B574">
        <f ca="1">OFFSET($O$1,0,MOD(ROW(574:574)-2,35))</f>
        <v>2002</v>
      </c>
      <c r="C574">
        <f ca="1" t="shared" si="88"/>
        <v>0.19712616</v>
      </c>
      <c r="D574">
        <f ca="1" t="shared" si="89"/>
        <v>5</v>
      </c>
      <c r="E574">
        <f ca="1" t="shared" si="90"/>
        <v>2</v>
      </c>
      <c r="F574">
        <f ca="1" t="shared" si="91"/>
        <v>0.369815247032</v>
      </c>
      <c r="G574">
        <f ca="1" t="shared" si="92"/>
        <v>0.0483185787084</v>
      </c>
      <c r="H574">
        <f ca="1" t="shared" si="93"/>
        <v>0.400974322056</v>
      </c>
      <c r="I574">
        <f ca="1" t="shared" si="94"/>
        <v>1133</v>
      </c>
      <c r="J574">
        <f ca="1" t="shared" si="95"/>
        <v>38</v>
      </c>
      <c r="K574">
        <f ca="1" t="shared" si="96"/>
        <v>18354</v>
      </c>
      <c r="L574">
        <f ca="1" t="shared" si="97"/>
        <v>2476</v>
      </c>
      <c r="M574">
        <f ca="1" t="shared" si="98"/>
        <v>0.0160167821088</v>
      </c>
    </row>
    <row r="575" spans="1:13">
      <c r="A575" t="str">
        <f ca="1">OFFSET($N$2,(ROW(575:575)-2)/35,0)</f>
        <v>湖北省</v>
      </c>
      <c r="B575">
        <f ca="1">OFFSET($O$1,0,MOD(ROW(575:575)-2,35))</f>
        <v>2003</v>
      </c>
      <c r="C575">
        <f ca="1" t="shared" si="88"/>
        <v>0.20680128</v>
      </c>
      <c r="D575">
        <f ca="1" t="shared" si="89"/>
        <v>5</v>
      </c>
      <c r="E575">
        <f ca="1" t="shared" si="90"/>
        <v>2</v>
      </c>
      <c r="F575">
        <f ca="1" t="shared" si="91"/>
        <v>0.398547426816</v>
      </c>
      <c r="G575">
        <f ca="1" t="shared" si="92"/>
        <v>0.043133576976</v>
      </c>
      <c r="H575">
        <f ca="1" t="shared" si="93"/>
        <v>0.444664112256</v>
      </c>
      <c r="I575">
        <f ca="1" t="shared" si="94"/>
        <v>1155</v>
      </c>
      <c r="J575">
        <f ca="1" t="shared" si="95"/>
        <v>35</v>
      </c>
      <c r="K575">
        <f ca="1" t="shared" si="96"/>
        <v>17173</v>
      </c>
      <c r="L575">
        <f ca="1" t="shared" si="97"/>
        <v>2510</v>
      </c>
      <c r="M575">
        <f ca="1" t="shared" si="98"/>
        <v>0.0150716772864</v>
      </c>
    </row>
    <row r="576" spans="1:13">
      <c r="A576" t="str">
        <f ca="1">OFFSET($N$2,(ROW(576:576)-2)/35,0)</f>
        <v>湖北省</v>
      </c>
      <c r="B576">
        <f ca="1">OFFSET($O$1,0,MOD(ROW(576:576)-2,35))</f>
        <v>2004</v>
      </c>
      <c r="C576">
        <f ca="1" t="shared" si="88"/>
        <v>0.22059072</v>
      </c>
      <c r="D576">
        <f ca="1" t="shared" si="89"/>
        <v>5</v>
      </c>
      <c r="E576">
        <f ca="1" t="shared" si="90"/>
        <v>2</v>
      </c>
      <c r="F576">
        <f ca="1" t="shared" si="91"/>
        <v>0.428725417344</v>
      </c>
      <c r="G576">
        <f ca="1" t="shared" si="92"/>
        <v>0.0539410487616</v>
      </c>
      <c r="H576">
        <f ca="1" t="shared" si="93"/>
        <v>0.47631051216</v>
      </c>
      <c r="I576">
        <f ca="1" t="shared" si="94"/>
        <v>1310</v>
      </c>
      <c r="J576">
        <f ca="1" t="shared" si="95"/>
        <v>32</v>
      </c>
      <c r="K576">
        <f ca="1" t="shared" si="96"/>
        <v>18077</v>
      </c>
      <c r="L576">
        <f ca="1" t="shared" si="97"/>
        <v>3981</v>
      </c>
      <c r="M576">
        <f ca="1" t="shared" si="98"/>
        <v>0.018463443264</v>
      </c>
    </row>
    <row r="577" spans="1:13">
      <c r="A577" t="str">
        <f ca="1">OFFSET($N$2,(ROW(577:577)-2)/35,0)</f>
        <v>湖北省</v>
      </c>
      <c r="B577">
        <f ca="1">OFFSET($O$1,0,MOD(ROW(577:577)-2,35))</f>
        <v>2005</v>
      </c>
      <c r="C577">
        <f ca="1" t="shared" si="88"/>
        <v>0.213003</v>
      </c>
      <c r="D577">
        <f ca="1" t="shared" si="89"/>
        <v>5</v>
      </c>
      <c r="E577">
        <f ca="1" t="shared" si="90"/>
        <v>2</v>
      </c>
      <c r="F577">
        <f ca="1" t="shared" si="91"/>
        <v>0.4006515429</v>
      </c>
      <c r="G577">
        <f ca="1" t="shared" si="92"/>
        <v>0.051064274205</v>
      </c>
      <c r="H577">
        <f ca="1" t="shared" si="93"/>
        <v>0.4501179396</v>
      </c>
      <c r="I577">
        <f ca="1" t="shared" si="94"/>
        <v>950</v>
      </c>
      <c r="J577">
        <f ca="1" t="shared" si="95"/>
        <v>29</v>
      </c>
      <c r="K577">
        <f ca="1" t="shared" si="96"/>
        <v>23923</v>
      </c>
      <c r="L577">
        <f ca="1" t="shared" si="97"/>
        <v>3540</v>
      </c>
      <c r="M577">
        <f ca="1" t="shared" si="98"/>
        <v>0.01532465298</v>
      </c>
    </row>
    <row r="578" spans="1:13">
      <c r="A578" t="str">
        <f ca="1">OFFSET($N$2,(ROW(578:578)-2)/35,0)</f>
        <v>湖北省</v>
      </c>
      <c r="B578">
        <f ca="1">OFFSET($O$1,0,MOD(ROW(578:578)-2,35))</f>
        <v>2006</v>
      </c>
      <c r="C578">
        <f ca="1" t="shared" si="88"/>
        <v>0.2399124</v>
      </c>
      <c r="D578">
        <f ca="1" t="shared" si="89"/>
        <v>5</v>
      </c>
      <c r="E578">
        <f ca="1" t="shared" si="90"/>
        <v>2</v>
      </c>
      <c r="F578">
        <f ca="1" t="shared" si="91"/>
        <v>0.4553537352</v>
      </c>
      <c r="G578">
        <f ca="1" t="shared" si="92"/>
        <v>0.053379309438</v>
      </c>
      <c r="H578">
        <f ca="1" t="shared" si="93"/>
        <v>0.499617573</v>
      </c>
      <c r="I578">
        <f ca="1" t="shared" si="94"/>
        <v>1404</v>
      </c>
      <c r="J578">
        <f ca="1" t="shared" si="95"/>
        <v>33</v>
      </c>
      <c r="K578">
        <f ca="1" t="shared" si="96"/>
        <v>19716</v>
      </c>
      <c r="L578">
        <f ca="1" t="shared" si="97"/>
        <v>4492</v>
      </c>
      <c r="M578">
        <f ca="1" t="shared" si="98"/>
        <v>0.019202588496</v>
      </c>
    </row>
    <row r="579" spans="1:13">
      <c r="A579" t="str">
        <f ca="1">OFFSET($N$2,(ROW(579:579)-2)/35,0)</f>
        <v>湖北省</v>
      </c>
      <c r="B579">
        <f ca="1">OFFSET($O$1,0,MOD(ROW(579:579)-2,35))</f>
        <v>2007</v>
      </c>
      <c r="C579">
        <f ca="1" t="shared" ref="C579:C642" si="99">IF(OR(A579="北京市",A579="上海市",A579="广东省"),(B579-1980)*RANDBETWEEN(15000,16000)/500000,IF(OR(A579="西藏自治区",A579="新疆维吾尔自治区",A579="青海省",A579="广西壮族自治区",A579="内蒙古自治区",A579="宁夏回族自治区",A579="贵州省",A579="甘肃省",A579="陕西省",A579="云南省"),(B579-1980)*RANDBETWEEN(7000,8000)/500000,IF(OR(A579="浙江省",A579="江苏省",A579="山东省",A579="辽宁省"),(B579-1980)*RANDBETWEEN(13000,14000)/500000,(B579-1980)*RANDBETWEEN(10000,11000)/500000)))*0.42</f>
        <v>0.22811544</v>
      </c>
      <c r="D579">
        <f ca="1" t="shared" ref="D579:D642" si="100">IF($B579=1990,ROUND($C579*RANDBETWEEN(10000,20000)/500,0),ROUND(D578+RANDBETWEEN(0,5)/10,0))</f>
        <v>5</v>
      </c>
      <c r="E579">
        <f ca="1" t="shared" ref="E579:E642" si="101">IF($B579=1990,ROUND($C579*RANDBETWEEN(10000,20000)/5000,0),ROUND(E578+RANDBETWEEN(0,20)/40,0))</f>
        <v>2</v>
      </c>
      <c r="F579">
        <f ca="1" t="shared" ref="F579:F642" si="102">$C579*RANDBETWEEN(50000,60000)/30000</f>
        <v>0.40798446444</v>
      </c>
      <c r="G579">
        <f ca="1" t="shared" ref="G579:G642" si="103">$C579*RANDBETWEEN(40000,50000)/200000</f>
        <v>0.0510317050824</v>
      </c>
      <c r="H579">
        <f ca="1" t="shared" ref="H579:H642" si="104">$C579*RANDBETWEEN(40000,50000)/20000</f>
        <v>0.461899548684</v>
      </c>
      <c r="I579">
        <f ca="1" t="shared" ref="I579:I642" si="105">ROUND($C579*RANDBETWEEN(20000,30000)/5,0)</f>
        <v>1223</v>
      </c>
      <c r="J579">
        <f ca="1" t="shared" ref="J579:J642" si="106">IF(B579&lt;2015,ROUND($C579*RANDBETWEEN(10000,20000)/100,0),IF(B579&lt;2018,ROUND($C579*RANDBETWEEN(10000,20000)/70,0),ROUND($C579*RANDBETWEEN(10000,20000)/20,0)))</f>
        <v>28</v>
      </c>
      <c r="K579">
        <f ca="1" t="shared" ref="K579:K642" si="107">ROUND($C579*RANDBETWEEN(10000,20000)*6,0)</f>
        <v>22341</v>
      </c>
      <c r="L579">
        <f ca="1" t="shared" ref="L579:L642" si="108">ROUND($C579*RANDBETWEEN(10000,20000)*1,0)</f>
        <v>2681</v>
      </c>
      <c r="M579">
        <f ca="1" t="shared" ref="M579:M642" si="109">$C579*RANDBETWEEN(50000,60000)/700000</f>
        <v>0.017436166596</v>
      </c>
    </row>
    <row r="580" spans="1:13">
      <c r="A580" t="str">
        <f ca="1">OFFSET($N$2,(ROW(580:580)-2)/35,0)</f>
        <v>湖北省</v>
      </c>
      <c r="B580">
        <f ca="1">OFFSET($O$1,0,MOD(ROW(580:580)-2,35))</f>
        <v>2008</v>
      </c>
      <c r="C580">
        <f ca="1" t="shared" si="99"/>
        <v>0.25286352</v>
      </c>
      <c r="D580">
        <f ca="1" t="shared" si="100"/>
        <v>5</v>
      </c>
      <c r="E580">
        <f ca="1" t="shared" si="101"/>
        <v>2</v>
      </c>
      <c r="F580">
        <f ca="1" t="shared" si="102"/>
        <v>0.474928263264</v>
      </c>
      <c r="G580">
        <f ca="1" t="shared" si="103"/>
        <v>0.051660017136</v>
      </c>
      <c r="H580">
        <f ca="1" t="shared" si="104"/>
        <v>0.561584591568</v>
      </c>
      <c r="I580">
        <f ca="1" t="shared" si="105"/>
        <v>1222</v>
      </c>
      <c r="J580">
        <f ca="1" t="shared" si="106"/>
        <v>47</v>
      </c>
      <c r="K580">
        <f ca="1" t="shared" si="107"/>
        <v>28171</v>
      </c>
      <c r="L580">
        <f ca="1" t="shared" si="108"/>
        <v>3649</v>
      </c>
      <c r="M580">
        <f ca="1" t="shared" si="109"/>
        <v>0.0209743065168</v>
      </c>
    </row>
    <row r="581" spans="1:13">
      <c r="A581" t="str">
        <f ca="1">OFFSET($N$2,(ROW(581:581)-2)/35,0)</f>
        <v>湖北省</v>
      </c>
      <c r="B581">
        <f ca="1">OFFSET($O$1,0,MOD(ROW(581:581)-2,35))</f>
        <v>2009</v>
      </c>
      <c r="C581">
        <f ca="1" t="shared" si="99"/>
        <v>0.26048148</v>
      </c>
      <c r="D581">
        <f ca="1" t="shared" si="100"/>
        <v>5</v>
      </c>
      <c r="E581">
        <f ca="1" t="shared" si="101"/>
        <v>2</v>
      </c>
      <c r="F581">
        <f ca="1" t="shared" si="102"/>
        <v>0.501114271224</v>
      </c>
      <c r="G581">
        <f ca="1" t="shared" si="103"/>
        <v>0.062391826497</v>
      </c>
      <c r="H581">
        <f ca="1" t="shared" si="104"/>
        <v>0.566768628258</v>
      </c>
      <c r="I581">
        <f ca="1" t="shared" si="105"/>
        <v>1339</v>
      </c>
      <c r="J581">
        <f ca="1" t="shared" si="106"/>
        <v>29</v>
      </c>
      <c r="K581">
        <f ca="1" t="shared" si="107"/>
        <v>22449</v>
      </c>
      <c r="L581">
        <f ca="1" t="shared" si="108"/>
        <v>4255</v>
      </c>
      <c r="M581">
        <f ca="1" t="shared" si="109"/>
        <v>0.019283071848</v>
      </c>
    </row>
    <row r="582" spans="1:13">
      <c r="A582" t="str">
        <f ca="1">OFFSET($N$2,(ROW(582:582)-2)/35,0)</f>
        <v>湖北省</v>
      </c>
      <c r="B582">
        <f ca="1">OFFSET($O$1,0,MOD(ROW(582:582)-2,35))</f>
        <v>2010</v>
      </c>
      <c r="C582">
        <f ca="1" t="shared" si="99"/>
        <v>0.2578716</v>
      </c>
      <c r="D582">
        <f ca="1" t="shared" si="100"/>
        <v>5</v>
      </c>
      <c r="E582">
        <f ca="1" t="shared" si="101"/>
        <v>2</v>
      </c>
      <c r="F582">
        <f ca="1" t="shared" si="102"/>
        <v>0.48990446568</v>
      </c>
      <c r="G582">
        <f ca="1" t="shared" si="103"/>
        <v>0.057997901556</v>
      </c>
      <c r="H582">
        <f ca="1" t="shared" si="104"/>
        <v>0.51726464244</v>
      </c>
      <c r="I582">
        <f ca="1" t="shared" si="105"/>
        <v>1227</v>
      </c>
      <c r="J582">
        <f ca="1" t="shared" si="106"/>
        <v>30</v>
      </c>
      <c r="K582">
        <f ca="1" t="shared" si="107"/>
        <v>15884</v>
      </c>
      <c r="L582">
        <f ca="1" t="shared" si="108"/>
        <v>4681</v>
      </c>
      <c r="M582">
        <f ca="1" t="shared" si="109"/>
        <v>0.019527879492</v>
      </c>
    </row>
    <row r="583" spans="1:13">
      <c r="A583" t="str">
        <f ca="1">OFFSET($N$2,(ROW(583:583)-2)/35,0)</f>
        <v>湖北省</v>
      </c>
      <c r="B583">
        <f ca="1">OFFSET($O$1,0,MOD(ROW(583:583)-2,35))</f>
        <v>2011</v>
      </c>
      <c r="C583">
        <f ca="1" t="shared" si="99"/>
        <v>0.26907132</v>
      </c>
      <c r="D583">
        <f ca="1" t="shared" si="100"/>
        <v>5</v>
      </c>
      <c r="E583">
        <f ca="1" t="shared" si="101"/>
        <v>2</v>
      </c>
      <c r="F583">
        <f ca="1" t="shared" si="102"/>
        <v>0.47118872654</v>
      </c>
      <c r="G583">
        <f ca="1" t="shared" si="103"/>
        <v>0.0656776184988</v>
      </c>
      <c r="H583">
        <f ca="1" t="shared" si="104"/>
        <v>0.602262335556</v>
      </c>
      <c r="I583">
        <f ca="1" t="shared" si="105"/>
        <v>1182</v>
      </c>
      <c r="J583">
        <f ca="1" t="shared" si="106"/>
        <v>52</v>
      </c>
      <c r="K583">
        <f ca="1" t="shared" si="107"/>
        <v>21951</v>
      </c>
      <c r="L583">
        <f ca="1" t="shared" si="108"/>
        <v>2769</v>
      </c>
      <c r="M583">
        <f ca="1" t="shared" si="109"/>
        <v>0.0209852566344</v>
      </c>
    </row>
    <row r="584" spans="1:13">
      <c r="A584" t="str">
        <f ca="1">OFFSET($N$2,(ROW(584:584)-2)/35,0)</f>
        <v>湖北省</v>
      </c>
      <c r="B584">
        <f ca="1">OFFSET($O$1,0,MOD(ROW(584:584)-2,35))</f>
        <v>2012</v>
      </c>
      <c r="C584">
        <f ca="1" t="shared" si="99"/>
        <v>0.27635328</v>
      </c>
      <c r="D584">
        <f ca="1" t="shared" si="100"/>
        <v>5</v>
      </c>
      <c r="E584">
        <f ca="1" t="shared" si="101"/>
        <v>2</v>
      </c>
      <c r="F584">
        <f ca="1" t="shared" si="102"/>
        <v>0.489495353088</v>
      </c>
      <c r="G584">
        <f ca="1" t="shared" si="103"/>
        <v>0.0631785051072</v>
      </c>
      <c r="H584">
        <f ca="1" t="shared" si="104"/>
        <v>0.643115535552</v>
      </c>
      <c r="I584">
        <f ca="1" t="shared" si="105"/>
        <v>1259</v>
      </c>
      <c r="J584">
        <f ca="1" t="shared" si="106"/>
        <v>46</v>
      </c>
      <c r="K584">
        <f ca="1" t="shared" si="107"/>
        <v>32362</v>
      </c>
      <c r="L584">
        <f ca="1" t="shared" si="108"/>
        <v>2767</v>
      </c>
      <c r="M584">
        <f ca="1" t="shared" si="109"/>
        <v>0.0207730812672</v>
      </c>
    </row>
    <row r="585" spans="1:13">
      <c r="A585" t="str">
        <f ca="1">OFFSET($N$2,(ROW(585:585)-2)/35,0)</f>
        <v>湖北省</v>
      </c>
      <c r="B585">
        <f ca="1">OFFSET($O$1,0,MOD(ROW(585:585)-2,35))</f>
        <v>2013</v>
      </c>
      <c r="C585">
        <f ca="1" t="shared" si="99"/>
        <v>0.30275784</v>
      </c>
      <c r="D585">
        <f ca="1" t="shared" si="100"/>
        <v>5</v>
      </c>
      <c r="E585">
        <f ca="1" t="shared" si="101"/>
        <v>3</v>
      </c>
      <c r="F585">
        <f ca="1" t="shared" si="102"/>
        <v>0.524739888288</v>
      </c>
      <c r="G585">
        <f ca="1" t="shared" si="103"/>
        <v>0.070535007774</v>
      </c>
      <c r="H585">
        <f ca="1" t="shared" si="104"/>
        <v>0.65895243876</v>
      </c>
      <c r="I585">
        <f ca="1" t="shared" si="105"/>
        <v>1692</v>
      </c>
      <c r="J585">
        <f ca="1" t="shared" si="106"/>
        <v>44</v>
      </c>
      <c r="K585">
        <f ca="1" t="shared" si="107"/>
        <v>34950</v>
      </c>
      <c r="L585">
        <f ca="1" t="shared" si="108"/>
        <v>3610</v>
      </c>
      <c r="M585">
        <f ca="1" t="shared" si="109"/>
        <v>0.0231921155664</v>
      </c>
    </row>
    <row r="586" spans="1:13">
      <c r="A586" t="str">
        <f ca="1">OFFSET($N$2,(ROW(586:586)-2)/35,0)</f>
        <v>湖北省</v>
      </c>
      <c r="B586">
        <f ca="1">OFFSET($O$1,0,MOD(ROW(586:586)-2,35))</f>
        <v>2014</v>
      </c>
      <c r="C586">
        <f ca="1" t="shared" si="99"/>
        <v>0.3133032</v>
      </c>
      <c r="D586">
        <f ca="1" t="shared" si="100"/>
        <v>5</v>
      </c>
      <c r="E586">
        <f ca="1" t="shared" si="101"/>
        <v>3</v>
      </c>
      <c r="F586">
        <f ca="1" t="shared" si="102"/>
        <v>0.56845732608</v>
      </c>
      <c r="G586">
        <f ca="1" t="shared" si="103"/>
        <v>0.069456186408</v>
      </c>
      <c r="H586">
        <f ca="1" t="shared" si="104"/>
        <v>0.68834279556</v>
      </c>
      <c r="I586">
        <f ca="1" t="shared" si="105"/>
        <v>1522</v>
      </c>
      <c r="J586">
        <f ca="1" t="shared" si="106"/>
        <v>43</v>
      </c>
      <c r="K586">
        <f ca="1" t="shared" si="107"/>
        <v>27603</v>
      </c>
      <c r="L586">
        <f ca="1" t="shared" si="108"/>
        <v>5828</v>
      </c>
      <c r="M586">
        <f ca="1" t="shared" si="109"/>
        <v>0.022870238448</v>
      </c>
    </row>
    <row r="587" spans="1:13">
      <c r="A587" t="str">
        <f ca="1">OFFSET($N$2,(ROW(587:587)-2)/35,0)</f>
        <v>湖北省</v>
      </c>
      <c r="B587">
        <f ca="1">OFFSET($O$1,0,MOD(ROW(587:587)-2,35))</f>
        <v>2015</v>
      </c>
      <c r="C587">
        <f ca="1" t="shared" si="99"/>
        <v>0.3176082</v>
      </c>
      <c r="D587">
        <f ca="1" t="shared" si="100"/>
        <v>5</v>
      </c>
      <c r="E587">
        <f ca="1" t="shared" si="101"/>
        <v>3</v>
      </c>
      <c r="F587">
        <f ca="1" t="shared" si="102"/>
        <v>0.62263911528</v>
      </c>
      <c r="G587">
        <f ca="1" t="shared" si="103"/>
        <v>0.076912001712</v>
      </c>
      <c r="H587">
        <f ca="1" t="shared" si="104"/>
        <v>0.75573283149</v>
      </c>
      <c r="I587">
        <f ca="1" t="shared" si="105"/>
        <v>1580</v>
      </c>
      <c r="J587">
        <f ca="1" t="shared" si="106"/>
        <v>74</v>
      </c>
      <c r="K587">
        <f ca="1" t="shared" si="107"/>
        <v>20713</v>
      </c>
      <c r="L587">
        <f ca="1" t="shared" si="108"/>
        <v>5972</v>
      </c>
      <c r="M587">
        <f ca="1" t="shared" si="109"/>
        <v>0.025261648776</v>
      </c>
    </row>
    <row r="588" spans="1:13">
      <c r="A588" t="str">
        <f ca="1">OFFSET($N$2,(ROW(588:588)-2)/35,0)</f>
        <v>湖北省</v>
      </c>
      <c r="B588">
        <f ca="1">OFFSET($O$1,0,MOD(ROW(588:588)-2,35))</f>
        <v>2016</v>
      </c>
      <c r="C588">
        <f ca="1" t="shared" si="99"/>
        <v>0.31316544</v>
      </c>
      <c r="D588">
        <f ca="1" t="shared" si="100"/>
        <v>5</v>
      </c>
      <c r="E588">
        <f ca="1" t="shared" si="101"/>
        <v>3</v>
      </c>
      <c r="F588">
        <f ca="1" t="shared" si="102"/>
        <v>0.532036766016</v>
      </c>
      <c r="G588">
        <f ca="1" t="shared" si="103"/>
        <v>0.0649755654912</v>
      </c>
      <c r="H588">
        <f ca="1" t="shared" si="104"/>
        <v>0.747698146272</v>
      </c>
      <c r="I588">
        <f ca="1" t="shared" si="105"/>
        <v>1642</v>
      </c>
      <c r="J588">
        <f ca="1" t="shared" si="106"/>
        <v>45</v>
      </c>
      <c r="K588">
        <f ca="1" t="shared" si="107"/>
        <v>35616</v>
      </c>
      <c r="L588">
        <f ca="1" t="shared" si="108"/>
        <v>3812</v>
      </c>
      <c r="M588">
        <f ca="1" t="shared" si="109"/>
        <v>0.0229881328128</v>
      </c>
    </row>
    <row r="589" spans="1:13">
      <c r="A589" t="str">
        <f ca="1">OFFSET($N$2,(ROW(589:589)-2)/35,0)</f>
        <v>湖北省</v>
      </c>
      <c r="B589">
        <f ca="1">OFFSET($O$1,0,MOD(ROW(589:589)-2,35))</f>
        <v>2017</v>
      </c>
      <c r="C589">
        <f ca="1" t="shared" si="99"/>
        <v>0.3250968</v>
      </c>
      <c r="D589">
        <f ca="1" t="shared" si="100"/>
        <v>5</v>
      </c>
      <c r="E589">
        <f ca="1" t="shared" si="101"/>
        <v>3</v>
      </c>
      <c r="F589">
        <f ca="1" t="shared" si="102"/>
        <v>0.57960424816</v>
      </c>
      <c r="G589">
        <f ca="1" t="shared" si="103"/>
        <v>0.073343463564</v>
      </c>
      <c r="H589">
        <f ca="1" t="shared" si="104"/>
        <v>0.6968449908</v>
      </c>
      <c r="I589">
        <f ca="1" t="shared" si="105"/>
        <v>1508</v>
      </c>
      <c r="J589">
        <f ca="1" t="shared" si="106"/>
        <v>49</v>
      </c>
      <c r="K589">
        <f ca="1" t="shared" si="107"/>
        <v>23276</v>
      </c>
      <c r="L589">
        <f ca="1" t="shared" si="108"/>
        <v>6011</v>
      </c>
      <c r="M589">
        <f ca="1" t="shared" si="109"/>
        <v>0.02603560944</v>
      </c>
    </row>
    <row r="590" spans="1:13">
      <c r="A590" t="str">
        <f ca="1">OFFSET($N$2,(ROW(590:590)-2)/35,0)</f>
        <v>湖北省</v>
      </c>
      <c r="B590">
        <f ca="1">OFFSET($O$1,0,MOD(ROW(590:590)-2,35))</f>
        <v>2018</v>
      </c>
      <c r="C590">
        <f ca="1" t="shared" si="99"/>
        <v>0.32299848</v>
      </c>
      <c r="D590">
        <f ca="1" t="shared" si="100"/>
        <v>6</v>
      </c>
      <c r="E590">
        <f ca="1" t="shared" si="101"/>
        <v>3</v>
      </c>
      <c r="F590">
        <f ca="1" t="shared" si="102"/>
        <v>0.621309109512</v>
      </c>
      <c r="G590">
        <f ca="1" t="shared" si="103"/>
        <v>0.071519938434</v>
      </c>
      <c r="H590">
        <f ca="1" t="shared" si="104"/>
        <v>0.787131145836</v>
      </c>
      <c r="I590">
        <f ca="1" t="shared" si="105"/>
        <v>1482</v>
      </c>
      <c r="J590">
        <f ca="1" t="shared" si="106"/>
        <v>165</v>
      </c>
      <c r="K590">
        <f ca="1" t="shared" si="107"/>
        <v>22831</v>
      </c>
      <c r="L590">
        <f ca="1" t="shared" si="108"/>
        <v>4081</v>
      </c>
      <c r="M590">
        <f ca="1" t="shared" si="109"/>
        <v>0.0259132451976</v>
      </c>
    </row>
    <row r="591" spans="1:13">
      <c r="A591" t="str">
        <f ca="1">OFFSET($N$2,(ROW(591:591)-2)/35,0)</f>
        <v>湖北省</v>
      </c>
      <c r="B591">
        <f ca="1">OFFSET($O$1,0,MOD(ROW(591:591)-2,35))</f>
        <v>2019</v>
      </c>
      <c r="C591">
        <f ca="1" t="shared" si="99"/>
        <v>0.3282552</v>
      </c>
      <c r="D591">
        <f ca="1" t="shared" si="100"/>
        <v>6</v>
      </c>
      <c r="E591">
        <f ca="1" t="shared" si="101"/>
        <v>3</v>
      </c>
      <c r="F591">
        <f ca="1" t="shared" si="102"/>
        <v>0.56001431304</v>
      </c>
      <c r="G591">
        <f ca="1" t="shared" si="103"/>
        <v>0.07404616674</v>
      </c>
      <c r="H591">
        <f ca="1" t="shared" si="104"/>
        <v>0.6922902168</v>
      </c>
      <c r="I591">
        <f ca="1" t="shared" si="105"/>
        <v>1668</v>
      </c>
      <c r="J591">
        <f ca="1" t="shared" si="106"/>
        <v>170</v>
      </c>
      <c r="K591">
        <f ca="1" t="shared" si="107"/>
        <v>23688</v>
      </c>
      <c r="L591">
        <f ca="1" t="shared" si="108"/>
        <v>4728</v>
      </c>
      <c r="M591">
        <f ca="1" t="shared" si="109"/>
        <v>0.027436507488</v>
      </c>
    </row>
    <row r="592" spans="1:13">
      <c r="A592" t="str">
        <f ca="1">OFFSET($N$2,(ROW(592:592)-2)/35,0)</f>
        <v>湖北省</v>
      </c>
      <c r="B592">
        <f ca="1">OFFSET($O$1,0,MOD(ROW(592:592)-2,35))</f>
        <v>2020</v>
      </c>
      <c r="C592">
        <f ca="1" t="shared" si="99"/>
        <v>0.3605616</v>
      </c>
      <c r="D592">
        <f ca="1" t="shared" si="100"/>
        <v>7</v>
      </c>
      <c r="E592">
        <f ca="1" t="shared" si="101"/>
        <v>3</v>
      </c>
      <c r="F592">
        <f ca="1" t="shared" si="102"/>
        <v>0.68914138608</v>
      </c>
      <c r="G592">
        <f ca="1" t="shared" si="103"/>
        <v>0.079547100192</v>
      </c>
      <c r="H592">
        <f ca="1" t="shared" si="104"/>
        <v>0.8810322696</v>
      </c>
      <c r="I592">
        <f ca="1" t="shared" si="105"/>
        <v>1668</v>
      </c>
      <c r="J592">
        <f ca="1" t="shared" si="106"/>
        <v>208</v>
      </c>
      <c r="K592">
        <f ca="1" t="shared" si="107"/>
        <v>22551</v>
      </c>
      <c r="L592">
        <f ca="1" t="shared" si="108"/>
        <v>7167</v>
      </c>
      <c r="M592">
        <f ca="1" t="shared" si="109"/>
        <v>0.029328595632</v>
      </c>
    </row>
    <row r="593" spans="1:13">
      <c r="A593" t="str">
        <f ca="1">OFFSET($N$2,(ROW(593:593)-2)/35,0)</f>
        <v>湖北省</v>
      </c>
      <c r="B593">
        <f ca="1">OFFSET($O$1,0,MOD(ROW(593:593)-2,35))</f>
        <v>2021</v>
      </c>
      <c r="C593">
        <f ca="1" t="shared" si="99"/>
        <v>0.36234324</v>
      </c>
      <c r="D593">
        <f ca="1" t="shared" si="100"/>
        <v>7</v>
      </c>
      <c r="E593">
        <f ca="1" t="shared" si="101"/>
        <v>3</v>
      </c>
      <c r="F593">
        <f ca="1" t="shared" si="102"/>
        <v>0.682086993084</v>
      </c>
      <c r="G593">
        <f ca="1" t="shared" si="103"/>
        <v>0.0884189974248</v>
      </c>
      <c r="H593">
        <f ca="1" t="shared" si="104"/>
        <v>0.858409252722</v>
      </c>
      <c r="I593">
        <f ca="1" t="shared" si="105"/>
        <v>1913</v>
      </c>
      <c r="J593">
        <f ca="1" t="shared" si="106"/>
        <v>341</v>
      </c>
      <c r="K593">
        <f ca="1" t="shared" si="107"/>
        <v>42231</v>
      </c>
      <c r="L593">
        <f ca="1" t="shared" si="108"/>
        <v>6732</v>
      </c>
      <c r="M593">
        <f ca="1" t="shared" si="109"/>
        <v>0.0286090693308</v>
      </c>
    </row>
    <row r="594" spans="1:13">
      <c r="A594" t="str">
        <f ca="1">OFFSET($N$2,(ROW(594:594)-2)/35,0)</f>
        <v>湖北省</v>
      </c>
      <c r="B594">
        <f ca="1">OFFSET($O$1,0,MOD(ROW(594:594)-2,35))</f>
        <v>2022</v>
      </c>
      <c r="C594">
        <f ca="1" t="shared" si="99"/>
        <v>0.35488152</v>
      </c>
      <c r="D594">
        <f ca="1" t="shared" si="100"/>
        <v>7</v>
      </c>
      <c r="E594">
        <f ca="1" t="shared" si="101"/>
        <v>3</v>
      </c>
      <c r="F594">
        <f ca="1" t="shared" si="102"/>
        <v>0.664858698336</v>
      </c>
      <c r="G594">
        <f ca="1" t="shared" si="103"/>
        <v>0.0730984954896</v>
      </c>
      <c r="H594">
        <f ca="1" t="shared" si="104"/>
        <v>0.7842881592</v>
      </c>
      <c r="I594">
        <f ca="1" t="shared" si="105"/>
        <v>2075</v>
      </c>
      <c r="J594">
        <f ca="1" t="shared" si="106"/>
        <v>220</v>
      </c>
      <c r="K594">
        <f ca="1" t="shared" si="107"/>
        <v>28107</v>
      </c>
      <c r="L594">
        <f ca="1" t="shared" si="108"/>
        <v>5968</v>
      </c>
      <c r="M594">
        <f ca="1" t="shared" si="109"/>
        <v>0.025533725364</v>
      </c>
    </row>
    <row r="595" spans="1:13">
      <c r="A595" t="str">
        <f ca="1">OFFSET($N$2,(ROW(595:595)-2)/35,0)</f>
        <v>湖北省</v>
      </c>
      <c r="B595">
        <f ca="1">OFFSET($O$1,0,MOD(ROW(595:595)-2,35))</f>
        <v>2023</v>
      </c>
      <c r="C595">
        <f ca="1" t="shared" si="99"/>
        <v>0.36846012</v>
      </c>
      <c r="D595">
        <f ca="1" t="shared" si="100"/>
        <v>7</v>
      </c>
      <c r="E595">
        <f ca="1" t="shared" si="101"/>
        <v>3</v>
      </c>
      <c r="F595">
        <f ca="1" t="shared" si="102"/>
        <v>0.643920905712</v>
      </c>
      <c r="G595">
        <f ca="1" t="shared" si="103"/>
        <v>0.085491959343</v>
      </c>
      <c r="H595">
        <f ca="1" t="shared" si="104"/>
        <v>0.75736977666</v>
      </c>
      <c r="I595">
        <f ca="1" t="shared" si="105"/>
        <v>2073</v>
      </c>
      <c r="J595">
        <f ca="1" t="shared" si="106"/>
        <v>286</v>
      </c>
      <c r="K595">
        <f ca="1" t="shared" si="107"/>
        <v>26733</v>
      </c>
      <c r="L595">
        <f ca="1" t="shared" si="108"/>
        <v>5168</v>
      </c>
      <c r="M595">
        <f ca="1" t="shared" si="109"/>
        <v>0.026592293232</v>
      </c>
    </row>
    <row r="596" spans="1:13">
      <c r="A596" t="str">
        <f ca="1">OFFSET($N$2,(ROW(596:596)-2)/35,0)</f>
        <v>湖北省</v>
      </c>
      <c r="B596">
        <f ca="1">OFFSET($O$1,0,MOD(ROW(596:596)-2,35))</f>
        <v>2024</v>
      </c>
      <c r="C596">
        <f ca="1" t="shared" si="99"/>
        <v>0.3699696</v>
      </c>
      <c r="D596">
        <f ca="1" t="shared" si="100"/>
        <v>7</v>
      </c>
      <c r="E596">
        <f ca="1" t="shared" si="101"/>
        <v>3</v>
      </c>
      <c r="F596">
        <f ca="1" t="shared" si="102"/>
        <v>0.64690417792</v>
      </c>
      <c r="G596">
        <f ca="1" t="shared" si="103"/>
        <v>0.079630406856</v>
      </c>
      <c r="H596">
        <f ca="1" t="shared" si="104"/>
        <v>0.75449750376</v>
      </c>
      <c r="I596">
        <f ca="1" t="shared" si="105"/>
        <v>1860</v>
      </c>
      <c r="J596">
        <f ca="1" t="shared" si="106"/>
        <v>337</v>
      </c>
      <c r="K596">
        <f ca="1" t="shared" si="107"/>
        <v>43555</v>
      </c>
      <c r="L596">
        <f ca="1" t="shared" si="108"/>
        <v>4199</v>
      </c>
      <c r="M596">
        <f ca="1" t="shared" si="109"/>
        <v>0.0265188924</v>
      </c>
    </row>
    <row r="597" spans="1:13">
      <c r="A597" t="str">
        <f ca="1">OFFSET($N$2,(ROW(597:597)-2)/35,0)</f>
        <v>湖南省</v>
      </c>
      <c r="B597">
        <f ca="1">OFFSET($O$1,0,MOD(ROW(597:597)-2,35))</f>
        <v>1990</v>
      </c>
      <c r="C597">
        <f ca="1" t="shared" si="99"/>
        <v>0.0909048</v>
      </c>
      <c r="D597">
        <f ca="1" t="shared" si="100"/>
        <v>3</v>
      </c>
      <c r="E597">
        <f ca="1" t="shared" si="101"/>
        <v>0</v>
      </c>
      <c r="F597">
        <f ca="1" t="shared" si="102"/>
        <v>0.17038892696</v>
      </c>
      <c r="G597">
        <f ca="1" t="shared" si="103"/>
        <v>0.018232775736</v>
      </c>
      <c r="H597">
        <f ca="1" t="shared" si="104"/>
        <v>0.18605485416</v>
      </c>
      <c r="I597">
        <f ca="1" t="shared" si="105"/>
        <v>527</v>
      </c>
      <c r="J597">
        <f ca="1" t="shared" si="106"/>
        <v>16</v>
      </c>
      <c r="K597">
        <f ca="1" t="shared" si="107"/>
        <v>8590</v>
      </c>
      <c r="L597">
        <f ca="1" t="shared" si="108"/>
        <v>1416</v>
      </c>
      <c r="M597">
        <f ca="1" t="shared" si="109"/>
        <v>0.00677695284</v>
      </c>
    </row>
    <row r="598" spans="1:13">
      <c r="A598" t="str">
        <f ca="1">OFFSET($N$2,(ROW(598:598)-2)/35,0)</f>
        <v>湖南省</v>
      </c>
      <c r="B598">
        <f ca="1">OFFSET($O$1,0,MOD(ROW(598:598)-2,35))</f>
        <v>1991</v>
      </c>
      <c r="C598">
        <f ca="1" t="shared" si="99"/>
        <v>0.10073448</v>
      </c>
      <c r="D598">
        <f ca="1" t="shared" si="100"/>
        <v>3</v>
      </c>
      <c r="E598">
        <f ca="1" t="shared" si="101"/>
        <v>0</v>
      </c>
      <c r="F598">
        <f ca="1" t="shared" si="102"/>
        <v>0.19396424124</v>
      </c>
      <c r="G598">
        <f ca="1" t="shared" si="103"/>
        <v>0.0214619846364</v>
      </c>
      <c r="H598">
        <f ca="1" t="shared" si="104"/>
        <v>0.247232634264</v>
      </c>
      <c r="I598">
        <f ca="1" t="shared" si="105"/>
        <v>429</v>
      </c>
      <c r="J598">
        <f ca="1" t="shared" si="106"/>
        <v>15</v>
      </c>
      <c r="K598">
        <f ca="1" t="shared" si="107"/>
        <v>11095</v>
      </c>
      <c r="L598">
        <f ca="1" t="shared" si="108"/>
        <v>1401</v>
      </c>
      <c r="M598">
        <f ca="1" t="shared" si="109"/>
        <v>0.0083467151064</v>
      </c>
    </row>
    <row r="599" spans="1:13">
      <c r="A599" t="str">
        <f ca="1">OFFSET($N$2,(ROW(599:599)-2)/35,0)</f>
        <v>湖南省</v>
      </c>
      <c r="B599">
        <f ca="1">OFFSET($O$1,0,MOD(ROW(599:599)-2,35))</f>
        <v>1992</v>
      </c>
      <c r="C599">
        <f ca="1" t="shared" si="99"/>
        <v>0.110628</v>
      </c>
      <c r="D599">
        <f ca="1" t="shared" si="100"/>
        <v>3</v>
      </c>
      <c r="E599">
        <f ca="1" t="shared" si="101"/>
        <v>0</v>
      </c>
      <c r="F599">
        <f ca="1" t="shared" si="102"/>
        <v>0.2151087708</v>
      </c>
      <c r="G599">
        <f ca="1" t="shared" si="103"/>
        <v>0.02637150264</v>
      </c>
      <c r="H599">
        <f ca="1" t="shared" si="104"/>
        <v>0.2475412128</v>
      </c>
      <c r="I599">
        <f ca="1" t="shared" si="105"/>
        <v>661</v>
      </c>
      <c r="J599">
        <f ca="1" t="shared" si="106"/>
        <v>14</v>
      </c>
      <c r="K599">
        <f ca="1" t="shared" si="107"/>
        <v>12283</v>
      </c>
      <c r="L599">
        <f ca="1" t="shared" si="108"/>
        <v>2117</v>
      </c>
      <c r="M599">
        <f ca="1" t="shared" si="109"/>
        <v>0.00853194744</v>
      </c>
    </row>
    <row r="600" spans="1:13">
      <c r="A600" t="str">
        <f ca="1">OFFSET($N$2,(ROW(600:600)-2)/35,0)</f>
        <v>湖南省</v>
      </c>
      <c r="B600">
        <f ca="1">OFFSET($O$1,0,MOD(ROW(600:600)-2,35))</f>
        <v>1993</v>
      </c>
      <c r="C600">
        <f ca="1" t="shared" si="99"/>
        <v>0.11611236</v>
      </c>
      <c r="D600">
        <f ca="1" t="shared" si="100"/>
        <v>3</v>
      </c>
      <c r="E600">
        <f ca="1" t="shared" si="101"/>
        <v>0</v>
      </c>
      <c r="F600">
        <f ca="1" t="shared" si="102"/>
        <v>0.228598143956</v>
      </c>
      <c r="G600">
        <f ca="1" t="shared" si="103"/>
        <v>0.0240044887446</v>
      </c>
      <c r="H600">
        <f ca="1" t="shared" si="104"/>
        <v>0.24795794478</v>
      </c>
      <c r="I600">
        <f ca="1" t="shared" si="105"/>
        <v>590</v>
      </c>
      <c r="J600">
        <f ca="1" t="shared" si="106"/>
        <v>13</v>
      </c>
      <c r="K600">
        <f ca="1" t="shared" si="107"/>
        <v>12307</v>
      </c>
      <c r="L600">
        <f ca="1" t="shared" si="108"/>
        <v>1915</v>
      </c>
      <c r="M600">
        <f ca="1" t="shared" si="109"/>
        <v>0.0098425130076</v>
      </c>
    </row>
    <row r="601" spans="1:13">
      <c r="A601" t="str">
        <f ca="1">OFFSET($N$2,(ROW(601:601)-2)/35,0)</f>
        <v>湖南省</v>
      </c>
      <c r="B601">
        <f ca="1">OFFSET($O$1,0,MOD(ROW(601:601)-2,35))</f>
        <v>1994</v>
      </c>
      <c r="C601">
        <f ca="1" t="shared" si="99"/>
        <v>0.12504408</v>
      </c>
      <c r="D601">
        <f ca="1" t="shared" si="100"/>
        <v>4</v>
      </c>
      <c r="E601">
        <f ca="1" t="shared" si="101"/>
        <v>0</v>
      </c>
      <c r="F601">
        <f ca="1" t="shared" si="102"/>
        <v>0.217072354744</v>
      </c>
      <c r="G601">
        <f ca="1" t="shared" si="103"/>
        <v>0.0285219294276</v>
      </c>
      <c r="H601">
        <f ca="1" t="shared" si="104"/>
        <v>0.297648675828</v>
      </c>
      <c r="I601">
        <f ca="1" t="shared" si="105"/>
        <v>511</v>
      </c>
      <c r="J601">
        <f ca="1" t="shared" si="106"/>
        <v>24</v>
      </c>
      <c r="K601">
        <f ca="1" t="shared" si="107"/>
        <v>9714</v>
      </c>
      <c r="L601">
        <f ca="1" t="shared" si="108"/>
        <v>1720</v>
      </c>
      <c r="M601">
        <f ca="1" t="shared" si="109"/>
        <v>0.0090096045984</v>
      </c>
    </row>
    <row r="602" spans="1:13">
      <c r="A602" t="str">
        <f ca="1">OFFSET($N$2,(ROW(602:602)-2)/35,0)</f>
        <v>湖南省</v>
      </c>
      <c r="B602">
        <f ca="1">OFFSET($O$1,0,MOD(ROW(602:602)-2,35))</f>
        <v>1995</v>
      </c>
      <c r="C602">
        <f ca="1" t="shared" si="99"/>
        <v>0.1272348</v>
      </c>
      <c r="D602">
        <f ca="1" t="shared" si="100"/>
        <v>5</v>
      </c>
      <c r="E602">
        <f ca="1" t="shared" si="101"/>
        <v>0</v>
      </c>
      <c r="F602">
        <f ca="1" t="shared" si="102"/>
        <v>0.24745472136</v>
      </c>
      <c r="G602">
        <f ca="1" t="shared" si="103"/>
        <v>0.025593916194</v>
      </c>
      <c r="H602">
        <f ca="1" t="shared" si="104"/>
        <v>0.2819523168</v>
      </c>
      <c r="I602">
        <f ca="1" t="shared" si="105"/>
        <v>685</v>
      </c>
      <c r="J602">
        <f ca="1" t="shared" si="106"/>
        <v>24</v>
      </c>
      <c r="K602">
        <f ca="1" t="shared" si="107"/>
        <v>13085</v>
      </c>
      <c r="L602">
        <f ca="1" t="shared" si="108"/>
        <v>1803</v>
      </c>
      <c r="M602">
        <f ca="1" t="shared" si="109"/>
        <v>0.010362183876</v>
      </c>
    </row>
    <row r="603" spans="1:13">
      <c r="A603" t="str">
        <f ca="1">OFFSET($N$2,(ROW(603:603)-2)/35,0)</f>
        <v>湖南省</v>
      </c>
      <c r="B603">
        <f ca="1">OFFSET($O$1,0,MOD(ROW(603:603)-2,35))</f>
        <v>1996</v>
      </c>
      <c r="C603">
        <f ca="1" t="shared" si="99"/>
        <v>0.13857984</v>
      </c>
      <c r="D603">
        <f ca="1" t="shared" si="100"/>
        <v>5</v>
      </c>
      <c r="E603">
        <f ca="1" t="shared" si="101"/>
        <v>0</v>
      </c>
      <c r="F603">
        <f ca="1" t="shared" si="102"/>
        <v>0.246353381568</v>
      </c>
      <c r="G603">
        <f ca="1" t="shared" si="103"/>
        <v>0.0278115880896</v>
      </c>
      <c r="H603">
        <f ca="1" t="shared" si="104"/>
        <v>0.336908378016</v>
      </c>
      <c r="I603">
        <f ca="1" t="shared" si="105"/>
        <v>736</v>
      </c>
      <c r="J603">
        <f ca="1" t="shared" si="106"/>
        <v>26</v>
      </c>
      <c r="K603">
        <f ca="1" t="shared" si="107"/>
        <v>8810</v>
      </c>
      <c r="L603">
        <f ca="1" t="shared" si="108"/>
        <v>1505</v>
      </c>
      <c r="M603">
        <f ca="1" t="shared" si="109"/>
        <v>0.0118127435328</v>
      </c>
    </row>
    <row r="604" spans="1:13">
      <c r="A604" t="str">
        <f ca="1">OFFSET($N$2,(ROW(604:604)-2)/35,0)</f>
        <v>湖南省</v>
      </c>
      <c r="B604">
        <f ca="1">OFFSET($O$1,0,MOD(ROW(604:604)-2,35))</f>
        <v>1997</v>
      </c>
      <c r="C604">
        <f ca="1" t="shared" si="99"/>
        <v>0.14595588</v>
      </c>
      <c r="D604">
        <f ca="1" t="shared" si="100"/>
        <v>6</v>
      </c>
      <c r="E604">
        <f ca="1" t="shared" si="101"/>
        <v>0</v>
      </c>
      <c r="F604">
        <f ca="1" t="shared" si="102"/>
        <v>0.272149333848</v>
      </c>
      <c r="G604">
        <f ca="1" t="shared" si="103"/>
        <v>0.0364605086034</v>
      </c>
      <c r="H604">
        <f ca="1" t="shared" si="104"/>
        <v>0.363846115458</v>
      </c>
      <c r="I604">
        <f ca="1" t="shared" si="105"/>
        <v>677</v>
      </c>
      <c r="J604">
        <f ca="1" t="shared" si="106"/>
        <v>19</v>
      </c>
      <c r="K604">
        <f ca="1" t="shared" si="107"/>
        <v>16402</v>
      </c>
      <c r="L604">
        <f ca="1" t="shared" si="108"/>
        <v>2629</v>
      </c>
      <c r="M604">
        <f ca="1" t="shared" si="109"/>
        <v>0.0106533196812</v>
      </c>
    </row>
    <row r="605" spans="1:13">
      <c r="A605" t="str">
        <f ca="1">OFFSET($N$2,(ROW(605:605)-2)/35,0)</f>
        <v>湖南省</v>
      </c>
      <c r="B605">
        <f ca="1">OFFSET($O$1,0,MOD(ROW(605:605)-2,35))</f>
        <v>1998</v>
      </c>
      <c r="C605">
        <f ca="1" t="shared" si="99"/>
        <v>0.15748992</v>
      </c>
      <c r="D605">
        <f ca="1" t="shared" si="100"/>
        <v>6</v>
      </c>
      <c r="E605">
        <f ca="1" t="shared" si="101"/>
        <v>0</v>
      </c>
      <c r="F605">
        <f ca="1" t="shared" si="102"/>
        <v>0.31411364544</v>
      </c>
      <c r="G605">
        <f ca="1" t="shared" si="103"/>
        <v>0.032257872864</v>
      </c>
      <c r="H605">
        <f ca="1" t="shared" si="104"/>
        <v>0.376219795392</v>
      </c>
      <c r="I605">
        <f ca="1" t="shared" si="105"/>
        <v>889</v>
      </c>
      <c r="J605">
        <f ca="1" t="shared" si="106"/>
        <v>24</v>
      </c>
      <c r="K605">
        <f ca="1" t="shared" si="107"/>
        <v>10821</v>
      </c>
      <c r="L605">
        <f ca="1" t="shared" si="108"/>
        <v>3102</v>
      </c>
      <c r="M605">
        <f ca="1" t="shared" si="109"/>
        <v>0.01265544</v>
      </c>
    </row>
    <row r="606" spans="1:13">
      <c r="A606" t="str">
        <f ca="1">OFFSET($N$2,(ROW(606:606)-2)/35,0)</f>
        <v>湖南省</v>
      </c>
      <c r="B606">
        <f ca="1">OFFSET($O$1,0,MOD(ROW(606:606)-2,35))</f>
        <v>1999</v>
      </c>
      <c r="C606">
        <f ca="1" t="shared" si="99"/>
        <v>0.17279892</v>
      </c>
      <c r="D606">
        <f ca="1" t="shared" si="100"/>
        <v>6</v>
      </c>
      <c r="E606">
        <f ca="1" t="shared" si="101"/>
        <v>0</v>
      </c>
      <c r="F606">
        <f ca="1" t="shared" si="102"/>
        <v>0.340603951212</v>
      </c>
      <c r="G606">
        <f ca="1" t="shared" si="103"/>
        <v>0.041856218397</v>
      </c>
      <c r="H606">
        <f ca="1" t="shared" si="104"/>
        <v>0.362290215672</v>
      </c>
      <c r="I606">
        <f ca="1" t="shared" si="105"/>
        <v>918</v>
      </c>
      <c r="J606">
        <f ca="1" t="shared" si="106"/>
        <v>30</v>
      </c>
      <c r="K606">
        <f ca="1" t="shared" si="107"/>
        <v>11960</v>
      </c>
      <c r="L606">
        <f ca="1" t="shared" si="108"/>
        <v>2234</v>
      </c>
      <c r="M606">
        <f ca="1" t="shared" si="109"/>
        <v>0.0142383841524</v>
      </c>
    </row>
    <row r="607" spans="1:13">
      <c r="A607" t="str">
        <f ca="1">OFFSET($N$2,(ROW(607:607)-2)/35,0)</f>
        <v>湖南省</v>
      </c>
      <c r="B607">
        <f ca="1">OFFSET($O$1,0,MOD(ROW(607:607)-2,35))</f>
        <v>2000</v>
      </c>
      <c r="C607">
        <f ca="1" t="shared" si="99"/>
        <v>0.1762656</v>
      </c>
      <c r="D607">
        <f ca="1" t="shared" si="100"/>
        <v>6</v>
      </c>
      <c r="E607">
        <f ca="1" t="shared" si="101"/>
        <v>0</v>
      </c>
      <c r="F607">
        <f ca="1" t="shared" si="102"/>
        <v>0.30315920544</v>
      </c>
      <c r="G607">
        <f ca="1" t="shared" si="103"/>
        <v>0.038284006992</v>
      </c>
      <c r="H607">
        <f ca="1" t="shared" si="104"/>
        <v>0.38041641792</v>
      </c>
      <c r="I607">
        <f ca="1" t="shared" si="105"/>
        <v>891</v>
      </c>
      <c r="J607">
        <f ca="1" t="shared" si="106"/>
        <v>18</v>
      </c>
      <c r="K607">
        <f ca="1" t="shared" si="107"/>
        <v>19460</v>
      </c>
      <c r="L607">
        <f ca="1" t="shared" si="108"/>
        <v>1889</v>
      </c>
      <c r="M607">
        <f ca="1" t="shared" si="109"/>
        <v>0.013268267136</v>
      </c>
    </row>
    <row r="608" spans="1:13">
      <c r="A608" t="str">
        <f ca="1">OFFSET($N$2,(ROW(608:608)-2)/35,0)</f>
        <v>湖南省</v>
      </c>
      <c r="B608">
        <f ca="1">OFFSET($O$1,0,MOD(ROW(608:608)-2,35))</f>
        <v>2001</v>
      </c>
      <c r="C608">
        <f ca="1" t="shared" si="99"/>
        <v>0.18255636</v>
      </c>
      <c r="D608">
        <f ca="1" t="shared" si="100"/>
        <v>6</v>
      </c>
      <c r="E608">
        <f ca="1" t="shared" si="101"/>
        <v>0</v>
      </c>
      <c r="F608">
        <f ca="1" t="shared" si="102"/>
        <v>0.305532409308</v>
      </c>
      <c r="G608">
        <f ca="1" t="shared" si="103"/>
        <v>0.0382665514014</v>
      </c>
      <c r="H608">
        <f ca="1" t="shared" si="104"/>
        <v>0.454811787486</v>
      </c>
      <c r="I608">
        <f ca="1" t="shared" si="105"/>
        <v>1065</v>
      </c>
      <c r="J608">
        <f ca="1" t="shared" si="106"/>
        <v>31</v>
      </c>
      <c r="K608">
        <f ca="1" t="shared" si="107"/>
        <v>16624</v>
      </c>
      <c r="L608">
        <f ca="1" t="shared" si="108"/>
        <v>1872</v>
      </c>
      <c r="M608">
        <f ca="1" t="shared" si="109"/>
        <v>0.0141515082324</v>
      </c>
    </row>
    <row r="609" spans="1:13">
      <c r="A609" t="str">
        <f ca="1">OFFSET($N$2,(ROW(609:609)-2)/35,0)</f>
        <v>湖南省</v>
      </c>
      <c r="B609">
        <f ca="1">OFFSET($O$1,0,MOD(ROW(609:609)-2,35))</f>
        <v>2002</v>
      </c>
      <c r="C609">
        <f ca="1" t="shared" si="99"/>
        <v>0.18487392</v>
      </c>
      <c r="D609">
        <f ca="1" t="shared" si="100"/>
        <v>6</v>
      </c>
      <c r="E609">
        <f ca="1" t="shared" si="101"/>
        <v>0</v>
      </c>
      <c r="F609">
        <f ca="1" t="shared" si="102"/>
        <v>0.337419553856</v>
      </c>
      <c r="G609">
        <f ca="1" t="shared" si="103"/>
        <v>0.0371846158992</v>
      </c>
      <c r="H609">
        <f ca="1" t="shared" si="104"/>
        <v>0.435415056384</v>
      </c>
      <c r="I609">
        <f ca="1" t="shared" si="105"/>
        <v>1011</v>
      </c>
      <c r="J609">
        <f ca="1" t="shared" si="106"/>
        <v>22</v>
      </c>
      <c r="K609">
        <f ca="1" t="shared" si="107"/>
        <v>21763</v>
      </c>
      <c r="L609">
        <f ca="1" t="shared" si="108"/>
        <v>2060</v>
      </c>
      <c r="M609">
        <f ca="1" t="shared" si="109"/>
        <v>0.0143287852224</v>
      </c>
    </row>
    <row r="610" spans="1:13">
      <c r="A610" t="str">
        <f ca="1">OFFSET($N$2,(ROW(610:610)-2)/35,0)</f>
        <v>湖南省</v>
      </c>
      <c r="B610">
        <f ca="1">OFFSET($O$1,0,MOD(ROW(610:610)-2,35))</f>
        <v>2003</v>
      </c>
      <c r="C610">
        <f ca="1" t="shared" si="99"/>
        <v>0.21219156</v>
      </c>
      <c r="D610">
        <f ca="1" t="shared" si="100"/>
        <v>6</v>
      </c>
      <c r="E610">
        <f ca="1" t="shared" si="101"/>
        <v>0</v>
      </c>
      <c r="F610">
        <f ca="1" t="shared" si="102"/>
        <v>0.417925423524</v>
      </c>
      <c r="G610">
        <f ca="1" t="shared" si="103"/>
        <v>0.0499212473634</v>
      </c>
      <c r="H610">
        <f ca="1" t="shared" si="104"/>
        <v>0.509450716404</v>
      </c>
      <c r="I610">
        <f ca="1" t="shared" si="105"/>
        <v>977</v>
      </c>
      <c r="J610">
        <f ca="1" t="shared" si="106"/>
        <v>22</v>
      </c>
      <c r="K610">
        <f ca="1" t="shared" si="107"/>
        <v>19843</v>
      </c>
      <c r="L610">
        <f ca="1" t="shared" si="108"/>
        <v>2155</v>
      </c>
      <c r="M610">
        <f ca="1" t="shared" si="109"/>
        <v>0.0153144711468</v>
      </c>
    </row>
    <row r="611" spans="1:13">
      <c r="A611" t="str">
        <f ca="1">OFFSET($N$2,(ROW(611:611)-2)/35,0)</f>
        <v>湖南省</v>
      </c>
      <c r="B611">
        <f ca="1">OFFSET($O$1,0,MOD(ROW(611:611)-2,35))</f>
        <v>2004</v>
      </c>
      <c r="C611">
        <f ca="1" t="shared" si="99"/>
        <v>0.20186208</v>
      </c>
      <c r="D611">
        <f ca="1" t="shared" si="100"/>
        <v>6</v>
      </c>
      <c r="E611">
        <f ca="1" t="shared" si="101"/>
        <v>0</v>
      </c>
      <c r="F611">
        <f ca="1" t="shared" si="102"/>
        <v>0.38273050368</v>
      </c>
      <c r="G611">
        <f ca="1" t="shared" si="103"/>
        <v>0.0412696929456</v>
      </c>
      <c r="H611">
        <f ca="1" t="shared" si="104"/>
        <v>0.456137649072</v>
      </c>
      <c r="I611">
        <f ca="1" t="shared" si="105"/>
        <v>1084</v>
      </c>
      <c r="J611">
        <f ca="1" t="shared" si="106"/>
        <v>27</v>
      </c>
      <c r="K611">
        <f ca="1" t="shared" si="107"/>
        <v>21252</v>
      </c>
      <c r="L611">
        <f ca="1" t="shared" si="108"/>
        <v>3169</v>
      </c>
      <c r="M611">
        <f ca="1" t="shared" si="109"/>
        <v>0.0147696716448</v>
      </c>
    </row>
    <row r="612" spans="1:13">
      <c r="A612" t="str">
        <f ca="1">OFFSET($N$2,(ROW(612:612)-2)/35,0)</f>
        <v>湖南省</v>
      </c>
      <c r="B612">
        <f ca="1">OFFSET($O$1,0,MOD(ROW(612:612)-2,35))</f>
        <v>2005</v>
      </c>
      <c r="C612">
        <f ca="1" t="shared" si="99"/>
        <v>0.218526</v>
      </c>
      <c r="D612">
        <f ca="1" t="shared" si="100"/>
        <v>6</v>
      </c>
      <c r="E612">
        <f ca="1" t="shared" si="101"/>
        <v>0</v>
      </c>
      <c r="F612">
        <f ca="1" t="shared" si="102"/>
        <v>0.3966683952</v>
      </c>
      <c r="G612">
        <f ca="1" t="shared" si="103"/>
        <v>0.04655587167</v>
      </c>
      <c r="H612">
        <f ca="1" t="shared" si="104"/>
        <v>0.453222924</v>
      </c>
      <c r="I612">
        <f ca="1" t="shared" si="105"/>
        <v>980</v>
      </c>
      <c r="J612">
        <f ca="1" t="shared" si="106"/>
        <v>26</v>
      </c>
      <c r="K612">
        <f ca="1" t="shared" si="107"/>
        <v>16136</v>
      </c>
      <c r="L612">
        <f ca="1" t="shared" si="108"/>
        <v>4073</v>
      </c>
      <c r="M612">
        <f ca="1" t="shared" si="109"/>
        <v>0.01760663982</v>
      </c>
    </row>
    <row r="613" spans="1:13">
      <c r="A613" t="str">
        <f ca="1">OFFSET($N$2,(ROW(613:613)-2)/35,0)</f>
        <v>湖南省</v>
      </c>
      <c r="B613">
        <f ca="1">OFFSET($O$1,0,MOD(ROW(613:613)-2,35))</f>
        <v>2006</v>
      </c>
      <c r="C613">
        <f ca="1" t="shared" si="99"/>
        <v>0.22340136</v>
      </c>
      <c r="D613">
        <f ca="1" t="shared" si="100"/>
        <v>6</v>
      </c>
      <c r="E613">
        <f ca="1" t="shared" si="101"/>
        <v>0</v>
      </c>
      <c r="F613">
        <f ca="1" t="shared" si="102"/>
        <v>0.41835628016</v>
      </c>
      <c r="G613">
        <f ca="1" t="shared" si="103"/>
        <v>0.0511298692632</v>
      </c>
      <c r="H613">
        <f ca="1" t="shared" si="104"/>
        <v>0.543166896636</v>
      </c>
      <c r="I613">
        <f ca="1" t="shared" si="105"/>
        <v>1008</v>
      </c>
      <c r="J613">
        <f ca="1" t="shared" si="106"/>
        <v>32</v>
      </c>
      <c r="K613">
        <f ca="1" t="shared" si="107"/>
        <v>14283</v>
      </c>
      <c r="L613">
        <f ca="1" t="shared" si="108"/>
        <v>3013</v>
      </c>
      <c r="M613">
        <f ca="1" t="shared" si="109"/>
        <v>0.017940724932</v>
      </c>
    </row>
    <row r="614" spans="1:13">
      <c r="A614" t="str">
        <f ca="1">OFFSET($N$2,(ROW(614:614)-2)/35,0)</f>
        <v>湖南省</v>
      </c>
      <c r="B614">
        <f ca="1">OFFSET($O$1,0,MOD(ROW(614:614)-2,35))</f>
        <v>2007</v>
      </c>
      <c r="C614">
        <f ca="1" t="shared" si="99"/>
        <v>0.23990904</v>
      </c>
      <c r="D614">
        <f ca="1" t="shared" si="100"/>
        <v>6</v>
      </c>
      <c r="E614">
        <f ca="1" t="shared" si="101"/>
        <v>0</v>
      </c>
      <c r="F614">
        <f ca="1" t="shared" si="102"/>
        <v>0.461313096048</v>
      </c>
      <c r="G614">
        <f ca="1" t="shared" si="103"/>
        <v>0.0528207733368</v>
      </c>
      <c r="H614">
        <f ca="1" t="shared" si="104"/>
        <v>0.499106766816</v>
      </c>
      <c r="I614">
        <f ca="1" t="shared" si="105"/>
        <v>1236</v>
      </c>
      <c r="J614">
        <f ca="1" t="shared" si="106"/>
        <v>36</v>
      </c>
      <c r="K614">
        <f ca="1" t="shared" si="107"/>
        <v>20144</v>
      </c>
      <c r="L614">
        <f ca="1" t="shared" si="108"/>
        <v>2845</v>
      </c>
      <c r="M614">
        <f ca="1" t="shared" si="109"/>
        <v>0.0182097815904</v>
      </c>
    </row>
    <row r="615" spans="1:13">
      <c r="A615" t="str">
        <f ca="1">OFFSET($N$2,(ROW(615:615)-2)/35,0)</f>
        <v>湖南省</v>
      </c>
      <c r="B615">
        <f ca="1">OFFSET($O$1,0,MOD(ROW(615:615)-2,35))</f>
        <v>2008</v>
      </c>
      <c r="C615">
        <f ca="1" t="shared" si="99"/>
        <v>0.25338096</v>
      </c>
      <c r="D615">
        <f ca="1" t="shared" si="100"/>
        <v>6</v>
      </c>
      <c r="E615">
        <f ca="1" t="shared" si="101"/>
        <v>0</v>
      </c>
      <c r="F615">
        <f ca="1" t="shared" si="102"/>
        <v>0.442850795856</v>
      </c>
      <c r="G615">
        <f ca="1" t="shared" si="103"/>
        <v>0.0590935074912</v>
      </c>
      <c r="H615">
        <f ca="1" t="shared" si="104"/>
        <v>0.619972532928</v>
      </c>
      <c r="I615">
        <f ca="1" t="shared" si="105"/>
        <v>1117</v>
      </c>
      <c r="J615">
        <f ca="1" t="shared" si="106"/>
        <v>28</v>
      </c>
      <c r="K615">
        <f ca="1" t="shared" si="107"/>
        <v>17547</v>
      </c>
      <c r="L615">
        <f ca="1" t="shared" si="108"/>
        <v>4810</v>
      </c>
      <c r="M615">
        <f ca="1" t="shared" si="109"/>
        <v>0.0209810294064</v>
      </c>
    </row>
    <row r="616" spans="1:13">
      <c r="A616" t="str">
        <f ca="1">OFFSET($N$2,(ROW(616:616)-2)/35,0)</f>
        <v>湖南省</v>
      </c>
      <c r="B616">
        <f ca="1">OFFSET($O$1,0,MOD(ROW(616:616)-2,35))</f>
        <v>2009</v>
      </c>
      <c r="C616">
        <f ca="1" t="shared" si="99"/>
        <v>0.26031096</v>
      </c>
      <c r="D616">
        <f ca="1" t="shared" si="100"/>
        <v>7</v>
      </c>
      <c r="E616">
        <f ca="1" t="shared" si="101"/>
        <v>0</v>
      </c>
      <c r="F616">
        <f ca="1" t="shared" si="102"/>
        <v>0.508638938808</v>
      </c>
      <c r="G616">
        <f ca="1" t="shared" si="103"/>
        <v>0.0587248510212</v>
      </c>
      <c r="H616">
        <f ca="1" t="shared" si="104"/>
        <v>0.566683944372</v>
      </c>
      <c r="I616">
        <f ca="1" t="shared" si="105"/>
        <v>1480</v>
      </c>
      <c r="J616">
        <f ca="1" t="shared" si="106"/>
        <v>43</v>
      </c>
      <c r="K616">
        <f ca="1" t="shared" si="107"/>
        <v>27629</v>
      </c>
      <c r="L616">
        <f ca="1" t="shared" si="108"/>
        <v>4763</v>
      </c>
      <c r="M616">
        <f ca="1" t="shared" si="109"/>
        <v>0.019385729064</v>
      </c>
    </row>
    <row r="617" spans="1:13">
      <c r="A617" t="str">
        <f ca="1">OFFSET($N$2,(ROW(617:617)-2)/35,0)</f>
        <v>湖南省</v>
      </c>
      <c r="B617">
        <f ca="1">OFFSET($O$1,0,MOD(ROW(617:617)-2,35))</f>
        <v>2010</v>
      </c>
      <c r="C617">
        <f ca="1" t="shared" si="99"/>
        <v>0.2757636</v>
      </c>
      <c r="D617">
        <f ca="1" t="shared" si="100"/>
        <v>7</v>
      </c>
      <c r="E617">
        <f ca="1" t="shared" si="101"/>
        <v>1</v>
      </c>
      <c r="F617">
        <f ca="1" t="shared" si="102"/>
        <v>0.5222962584</v>
      </c>
      <c r="G617">
        <f ca="1" t="shared" si="103"/>
        <v>0.05863423545</v>
      </c>
      <c r="H617">
        <f ca="1" t="shared" si="104"/>
        <v>0.55446408234</v>
      </c>
      <c r="I617">
        <f ca="1" t="shared" si="105"/>
        <v>1310</v>
      </c>
      <c r="J617">
        <f ca="1" t="shared" si="106"/>
        <v>36</v>
      </c>
      <c r="K617">
        <f ca="1" t="shared" si="107"/>
        <v>22866</v>
      </c>
      <c r="L617">
        <f ca="1" t="shared" si="108"/>
        <v>5455</v>
      </c>
      <c r="M617">
        <f ca="1" t="shared" si="109"/>
        <v>0.023451330492</v>
      </c>
    </row>
    <row r="618" spans="1:13">
      <c r="A618" t="str">
        <f ca="1">OFFSET($N$2,(ROW(618:618)-2)/35,0)</f>
        <v>湖南省</v>
      </c>
      <c r="B618">
        <f ca="1">OFFSET($O$1,0,MOD(ROW(618:618)-2,35))</f>
        <v>2011</v>
      </c>
      <c r="C618">
        <f ca="1" t="shared" si="99"/>
        <v>0.26045208</v>
      </c>
      <c r="D618">
        <f ca="1" t="shared" si="100"/>
        <v>7</v>
      </c>
      <c r="E618">
        <f ca="1" t="shared" si="101"/>
        <v>1</v>
      </c>
      <c r="F618">
        <f ca="1" t="shared" si="102"/>
        <v>0.439547611944</v>
      </c>
      <c r="G618">
        <f ca="1" t="shared" si="103"/>
        <v>0.0635971888944</v>
      </c>
      <c r="H618">
        <f ca="1" t="shared" si="104"/>
        <v>0.624577110444</v>
      </c>
      <c r="I618">
        <f ca="1" t="shared" si="105"/>
        <v>1518</v>
      </c>
      <c r="J618">
        <f ca="1" t="shared" si="106"/>
        <v>52</v>
      </c>
      <c r="K618">
        <f ca="1" t="shared" si="107"/>
        <v>18088</v>
      </c>
      <c r="L618">
        <f ca="1" t="shared" si="108"/>
        <v>4062</v>
      </c>
      <c r="M618">
        <f ca="1" t="shared" si="109"/>
        <v>0.0212599591416</v>
      </c>
    </row>
    <row r="619" spans="1:13">
      <c r="A619" t="str">
        <f ca="1">OFFSET($N$2,(ROW(619:619)-2)/35,0)</f>
        <v>湖南省</v>
      </c>
      <c r="B619">
        <f ca="1">OFFSET($O$1,0,MOD(ROW(619:619)-2,35))</f>
        <v>2012</v>
      </c>
      <c r="C619">
        <f ca="1" t="shared" si="99"/>
        <v>0.29336832</v>
      </c>
      <c r="D619">
        <f ca="1" t="shared" si="100"/>
        <v>8</v>
      </c>
      <c r="E619">
        <f ca="1" t="shared" si="101"/>
        <v>1</v>
      </c>
      <c r="F619">
        <f ca="1" t="shared" si="102"/>
        <v>0.498315428352</v>
      </c>
      <c r="G619">
        <f ca="1" t="shared" si="103"/>
        <v>0.0679705060608</v>
      </c>
      <c r="H619">
        <f ca="1" t="shared" si="104"/>
        <v>0.589347618048</v>
      </c>
      <c r="I619">
        <f ca="1" t="shared" si="105"/>
        <v>1449</v>
      </c>
      <c r="J619">
        <f ca="1" t="shared" si="106"/>
        <v>54</v>
      </c>
      <c r="K619">
        <f ca="1" t="shared" si="107"/>
        <v>24991</v>
      </c>
      <c r="L619">
        <f ca="1" t="shared" si="108"/>
        <v>3267</v>
      </c>
      <c r="M619">
        <f ca="1" t="shared" si="109"/>
        <v>0.024228032256</v>
      </c>
    </row>
    <row r="620" spans="1:13">
      <c r="A620" t="str">
        <f ca="1">OFFSET($N$2,(ROW(620:620)-2)/35,0)</f>
        <v>湖南省</v>
      </c>
      <c r="B620">
        <f ca="1">OFFSET($O$1,0,MOD(ROW(620:620)-2,35))</f>
        <v>2013</v>
      </c>
      <c r="C620">
        <f ca="1" t="shared" si="99"/>
        <v>0.3006234</v>
      </c>
      <c r="D620">
        <f ca="1" t="shared" si="100"/>
        <v>9</v>
      </c>
      <c r="E620">
        <f ca="1" t="shared" si="101"/>
        <v>1</v>
      </c>
      <c r="F620">
        <f ca="1" t="shared" si="102"/>
        <v>0.5792511879</v>
      </c>
      <c r="G620">
        <f ca="1" t="shared" si="103"/>
        <v>0.07336714077</v>
      </c>
      <c r="H620">
        <f ca="1" t="shared" si="104"/>
        <v>0.6021486702</v>
      </c>
      <c r="I620">
        <f ca="1" t="shared" si="105"/>
        <v>1464</v>
      </c>
      <c r="J620">
        <f ca="1" t="shared" si="106"/>
        <v>33</v>
      </c>
      <c r="K620">
        <f ca="1" t="shared" si="107"/>
        <v>26858</v>
      </c>
      <c r="L620">
        <f ca="1" t="shared" si="108"/>
        <v>5702</v>
      </c>
      <c r="M620">
        <f ca="1" t="shared" si="109"/>
        <v>0.021497149872</v>
      </c>
    </row>
    <row r="621" spans="1:13">
      <c r="A621" t="str">
        <f ca="1">OFFSET($N$2,(ROW(621:621)-2)/35,0)</f>
        <v>湖南省</v>
      </c>
      <c r="B621">
        <f ca="1">OFFSET($O$1,0,MOD(ROW(621:621)-2,35))</f>
        <v>2014</v>
      </c>
      <c r="C621">
        <f ca="1" t="shared" si="99"/>
        <v>0.30382128</v>
      </c>
      <c r="D621">
        <f ca="1" t="shared" si="100"/>
        <v>9</v>
      </c>
      <c r="E621">
        <f ca="1" t="shared" si="101"/>
        <v>1</v>
      </c>
      <c r="F621">
        <f ca="1" t="shared" si="102"/>
        <v>0.548863269696</v>
      </c>
      <c r="G621">
        <f ca="1" t="shared" si="103"/>
        <v>0.0705199573008</v>
      </c>
      <c r="H621">
        <f ca="1" t="shared" si="104"/>
        <v>0.686757621312</v>
      </c>
      <c r="I621">
        <f ca="1" t="shared" si="105"/>
        <v>1380</v>
      </c>
      <c r="J621">
        <f ca="1" t="shared" si="106"/>
        <v>60</v>
      </c>
      <c r="K621">
        <f ca="1" t="shared" si="107"/>
        <v>34154</v>
      </c>
      <c r="L621">
        <f ca="1" t="shared" si="108"/>
        <v>4169</v>
      </c>
      <c r="M621">
        <f ca="1" t="shared" si="109"/>
        <v>0.0250214185296</v>
      </c>
    </row>
    <row r="622" spans="1:13">
      <c r="A622" t="str">
        <f ca="1">OFFSET($N$2,(ROW(622:622)-2)/35,0)</f>
        <v>湖南省</v>
      </c>
      <c r="B622">
        <f ca="1">OFFSET($O$1,0,MOD(ROW(622:622)-2,35))</f>
        <v>2015</v>
      </c>
      <c r="C622">
        <f ca="1" t="shared" si="99"/>
        <v>0.3055248</v>
      </c>
      <c r="D622">
        <f ca="1" t="shared" si="100"/>
        <v>9</v>
      </c>
      <c r="E622">
        <f ca="1" t="shared" si="101"/>
        <v>1</v>
      </c>
      <c r="F622">
        <f ca="1" t="shared" si="102"/>
        <v>0.52401576864</v>
      </c>
      <c r="G622">
        <f ca="1" t="shared" si="103"/>
        <v>0.07360092432</v>
      </c>
      <c r="H622">
        <f ca="1" t="shared" si="104"/>
        <v>0.72262725696</v>
      </c>
      <c r="I622">
        <f ca="1" t="shared" si="105"/>
        <v>1559</v>
      </c>
      <c r="J622">
        <f ca="1" t="shared" si="106"/>
        <v>62</v>
      </c>
      <c r="K622">
        <f ca="1" t="shared" si="107"/>
        <v>25552</v>
      </c>
      <c r="L622">
        <f ca="1" t="shared" si="108"/>
        <v>6058</v>
      </c>
      <c r="M622">
        <f ca="1" t="shared" si="109"/>
        <v>0.02271358656</v>
      </c>
    </row>
    <row r="623" spans="1:13">
      <c r="A623" t="str">
        <f ca="1">OFFSET($N$2,(ROW(623:623)-2)/35,0)</f>
        <v>湖南省</v>
      </c>
      <c r="B623">
        <f ca="1">OFFSET($O$1,0,MOD(ROW(623:623)-2,35))</f>
        <v>2016</v>
      </c>
      <c r="C623">
        <f ca="1" t="shared" si="99"/>
        <v>0.31174416</v>
      </c>
      <c r="D623">
        <f ca="1" t="shared" si="100"/>
        <v>9</v>
      </c>
      <c r="E623">
        <f ca="1" t="shared" si="101"/>
        <v>1</v>
      </c>
      <c r="F623">
        <f ca="1" t="shared" si="102"/>
        <v>0.580956025104</v>
      </c>
      <c r="G623">
        <f ca="1" t="shared" si="103"/>
        <v>0.0741265263648</v>
      </c>
      <c r="H623">
        <f ca="1" t="shared" si="104"/>
        <v>0.698104284696</v>
      </c>
      <c r="I623">
        <f ca="1" t="shared" si="105"/>
        <v>1777</v>
      </c>
      <c r="J623">
        <f ca="1" t="shared" si="106"/>
        <v>57</v>
      </c>
      <c r="K623">
        <f ca="1" t="shared" si="107"/>
        <v>24574</v>
      </c>
      <c r="L623">
        <f ca="1" t="shared" si="108"/>
        <v>4388</v>
      </c>
      <c r="M623">
        <f ca="1" t="shared" si="109"/>
        <v>0.0232636852656</v>
      </c>
    </row>
    <row r="624" spans="1:13">
      <c r="A624" t="str">
        <f ca="1">OFFSET($N$2,(ROW(624:624)-2)/35,0)</f>
        <v>湖南省</v>
      </c>
      <c r="B624">
        <f ca="1">OFFSET($O$1,0,MOD(ROW(624:624)-2,35))</f>
        <v>2017</v>
      </c>
      <c r="C624">
        <f ca="1" t="shared" si="99"/>
        <v>0.32239284</v>
      </c>
      <c r="D624">
        <f ca="1" t="shared" si="100"/>
        <v>9</v>
      </c>
      <c r="E624">
        <f ca="1" t="shared" si="101"/>
        <v>1</v>
      </c>
      <c r="F624">
        <f ca="1" t="shared" si="102"/>
        <v>0.6112030925</v>
      </c>
      <c r="G624">
        <f ca="1" t="shared" si="103"/>
        <v>0.0756768832974</v>
      </c>
      <c r="H624">
        <f ca="1" t="shared" si="104"/>
        <v>0.73416909489</v>
      </c>
      <c r="I624">
        <f ca="1" t="shared" si="105"/>
        <v>1388</v>
      </c>
      <c r="J624">
        <f ca="1" t="shared" si="106"/>
        <v>64</v>
      </c>
      <c r="K624">
        <f ca="1" t="shared" si="107"/>
        <v>36107</v>
      </c>
      <c r="L624">
        <f ca="1" t="shared" si="108"/>
        <v>5065</v>
      </c>
      <c r="M624">
        <f ca="1" t="shared" si="109"/>
        <v>0.0238745714856</v>
      </c>
    </row>
    <row r="625" spans="1:13">
      <c r="A625" t="str">
        <f ca="1">OFFSET($N$2,(ROW(625:625)-2)/35,0)</f>
        <v>湖南省</v>
      </c>
      <c r="B625">
        <f ca="1">OFFSET($O$1,0,MOD(ROW(625:625)-2,35))</f>
        <v>2018</v>
      </c>
      <c r="C625">
        <f ca="1" t="shared" si="99"/>
        <v>0.34882176</v>
      </c>
      <c r="D625">
        <f ca="1" t="shared" si="100"/>
        <v>9</v>
      </c>
      <c r="E625">
        <f ca="1" t="shared" si="101"/>
        <v>1</v>
      </c>
      <c r="F625">
        <f ca="1" t="shared" si="102"/>
        <v>0.635878813696</v>
      </c>
      <c r="G625">
        <f ca="1" t="shared" si="103"/>
        <v>0.0852572704704</v>
      </c>
      <c r="H625">
        <f ca="1" t="shared" si="104"/>
        <v>0.703887429504</v>
      </c>
      <c r="I625">
        <f ca="1" t="shared" si="105"/>
        <v>1968</v>
      </c>
      <c r="J625">
        <f ca="1" t="shared" si="106"/>
        <v>254</v>
      </c>
      <c r="K625">
        <f ca="1" t="shared" si="107"/>
        <v>40362</v>
      </c>
      <c r="L625">
        <f ca="1" t="shared" si="108"/>
        <v>4165</v>
      </c>
      <c r="M625">
        <f ca="1" t="shared" si="109"/>
        <v>0.0290508728064</v>
      </c>
    </row>
    <row r="626" spans="1:13">
      <c r="A626" t="str">
        <f ca="1">OFFSET($N$2,(ROW(626:626)-2)/35,0)</f>
        <v>湖南省</v>
      </c>
      <c r="B626">
        <f ca="1">OFFSET($O$1,0,MOD(ROW(626:626)-2,35))</f>
        <v>2019</v>
      </c>
      <c r="C626">
        <f ca="1" t="shared" si="99"/>
        <v>0.34211268</v>
      </c>
      <c r="D626">
        <f ca="1" t="shared" si="100"/>
        <v>9</v>
      </c>
      <c r="E626">
        <f ca="1" t="shared" si="101"/>
        <v>1</v>
      </c>
      <c r="F626">
        <f ca="1" t="shared" si="102"/>
        <v>0.643673603664</v>
      </c>
      <c r="G626">
        <f ca="1" t="shared" si="103"/>
        <v>0.0749449142442</v>
      </c>
      <c r="H626">
        <f ca="1" t="shared" si="104"/>
        <v>0.820198044666</v>
      </c>
      <c r="I626">
        <f ca="1" t="shared" si="105"/>
        <v>1934</v>
      </c>
      <c r="J626">
        <f ca="1" t="shared" si="106"/>
        <v>289</v>
      </c>
      <c r="K626">
        <f ca="1" t="shared" si="107"/>
        <v>26334</v>
      </c>
      <c r="L626">
        <f ca="1" t="shared" si="108"/>
        <v>4690</v>
      </c>
      <c r="M626">
        <f ca="1" t="shared" si="109"/>
        <v>0.02708799327</v>
      </c>
    </row>
    <row r="627" spans="1:13">
      <c r="A627" t="str">
        <f ca="1">OFFSET($N$2,(ROW(627:627)-2)/35,0)</f>
        <v>湖南省</v>
      </c>
      <c r="B627">
        <f ca="1">OFFSET($O$1,0,MOD(ROW(627:627)-2,35))</f>
        <v>2020</v>
      </c>
      <c r="C627">
        <f ca="1" t="shared" si="99"/>
        <v>0.3440976</v>
      </c>
      <c r="D627">
        <f ca="1" t="shared" si="100"/>
        <v>10</v>
      </c>
      <c r="E627">
        <f ca="1" t="shared" si="101"/>
        <v>1</v>
      </c>
      <c r="F627">
        <f ca="1" t="shared" si="102"/>
        <v>0.68694497872</v>
      </c>
      <c r="G627">
        <f ca="1" t="shared" si="103"/>
        <v>0.07637246232</v>
      </c>
      <c r="H627">
        <f ca="1" t="shared" si="104"/>
        <v>0.70276773336</v>
      </c>
      <c r="I627">
        <f ca="1" t="shared" si="105"/>
        <v>1823</v>
      </c>
      <c r="J627">
        <f ca="1" t="shared" si="106"/>
        <v>192</v>
      </c>
      <c r="K627">
        <f ca="1" t="shared" si="107"/>
        <v>40577</v>
      </c>
      <c r="L627">
        <f ca="1" t="shared" si="108"/>
        <v>6616</v>
      </c>
      <c r="M627">
        <f ca="1" t="shared" si="109"/>
        <v>0.029028073536</v>
      </c>
    </row>
    <row r="628" spans="1:13">
      <c r="A628" t="str">
        <f ca="1">OFFSET($N$2,(ROW(628:628)-2)/35,0)</f>
        <v>湖南省</v>
      </c>
      <c r="B628">
        <f ca="1">OFFSET($O$1,0,MOD(ROW(628:628)-2,35))</f>
        <v>2021</v>
      </c>
      <c r="C628">
        <f ca="1" t="shared" si="99"/>
        <v>0.37167648</v>
      </c>
      <c r="D628">
        <f ca="1" t="shared" si="100"/>
        <v>11</v>
      </c>
      <c r="E628">
        <f ca="1" t="shared" si="101"/>
        <v>1</v>
      </c>
      <c r="F628">
        <f ca="1" t="shared" si="102"/>
        <v>0.720358575104</v>
      </c>
      <c r="G628">
        <f ca="1" t="shared" si="103"/>
        <v>0.085178957304</v>
      </c>
      <c r="H628">
        <f ca="1" t="shared" si="104"/>
        <v>0.90466055232</v>
      </c>
      <c r="I628">
        <f ca="1" t="shared" si="105"/>
        <v>1755</v>
      </c>
      <c r="J628">
        <f ca="1" t="shared" si="106"/>
        <v>215</v>
      </c>
      <c r="K628">
        <f ca="1" t="shared" si="107"/>
        <v>40244</v>
      </c>
      <c r="L628">
        <f ca="1" t="shared" si="108"/>
        <v>5027</v>
      </c>
      <c r="M628">
        <f ca="1" t="shared" si="109"/>
        <v>0.0282681201696</v>
      </c>
    </row>
    <row r="629" spans="1:13">
      <c r="A629" t="str">
        <f ca="1">OFFSET($N$2,(ROW(629:629)-2)/35,0)</f>
        <v>湖南省</v>
      </c>
      <c r="B629">
        <f ca="1">OFFSET($O$1,0,MOD(ROW(629:629)-2,35))</f>
        <v>2022</v>
      </c>
      <c r="C629">
        <f ca="1" t="shared" si="99"/>
        <v>0.37763712</v>
      </c>
      <c r="D629">
        <f ca="1" t="shared" si="100"/>
        <v>12</v>
      </c>
      <c r="E629">
        <f ca="1" t="shared" si="101"/>
        <v>1</v>
      </c>
      <c r="F629">
        <f ca="1" t="shared" si="102"/>
        <v>0.703349136</v>
      </c>
      <c r="G629">
        <f ca="1" t="shared" si="103"/>
        <v>0.0766641117312</v>
      </c>
      <c r="H629">
        <f ca="1" t="shared" si="104"/>
        <v>0.821681727552</v>
      </c>
      <c r="I629">
        <f ca="1" t="shared" si="105"/>
        <v>1669</v>
      </c>
      <c r="J629">
        <f ca="1" t="shared" si="106"/>
        <v>314</v>
      </c>
      <c r="K629">
        <f ca="1" t="shared" si="107"/>
        <v>30874</v>
      </c>
      <c r="L629">
        <f ca="1" t="shared" si="108"/>
        <v>3896</v>
      </c>
      <c r="M629">
        <f ca="1" t="shared" si="109"/>
        <v>0.0291244536576</v>
      </c>
    </row>
    <row r="630" spans="1:13">
      <c r="A630" t="str">
        <f ca="1">OFFSET($N$2,(ROW(630:630)-2)/35,0)</f>
        <v>湖南省</v>
      </c>
      <c r="B630">
        <f ca="1">OFFSET($O$1,0,MOD(ROW(630:630)-2,35))</f>
        <v>2023</v>
      </c>
      <c r="C630">
        <f ca="1" t="shared" si="99"/>
        <v>0.39410532</v>
      </c>
      <c r="D630">
        <f ca="1" t="shared" si="100"/>
        <v>12</v>
      </c>
      <c r="E630">
        <f ca="1" t="shared" si="101"/>
        <v>1</v>
      </c>
      <c r="F630">
        <f ca="1" t="shared" si="102"/>
        <v>0.70820726004</v>
      </c>
      <c r="G630">
        <f ca="1" t="shared" si="103"/>
        <v>0.0945005441562</v>
      </c>
      <c r="H630">
        <f ca="1" t="shared" si="104"/>
        <v>0.922777901514</v>
      </c>
      <c r="I630">
        <f ca="1" t="shared" si="105"/>
        <v>1918</v>
      </c>
      <c r="J630">
        <f ca="1" t="shared" si="106"/>
        <v>199</v>
      </c>
      <c r="K630">
        <f ca="1" t="shared" si="107"/>
        <v>44261</v>
      </c>
      <c r="L630">
        <f ca="1" t="shared" si="108"/>
        <v>4233</v>
      </c>
      <c r="M630">
        <f ca="1" t="shared" si="109"/>
        <v>0.0321353477928</v>
      </c>
    </row>
    <row r="631" spans="1:13">
      <c r="A631" t="str">
        <f ca="1">OFFSET($N$2,(ROW(631:631)-2)/35,0)</f>
        <v>湖南省</v>
      </c>
      <c r="B631">
        <f ca="1">OFFSET($O$1,0,MOD(ROW(631:631)-2,35))</f>
        <v>2024</v>
      </c>
      <c r="C631">
        <f ca="1" t="shared" si="99"/>
        <v>0.39687648</v>
      </c>
      <c r="D631">
        <f ca="1" t="shared" si="100"/>
        <v>12</v>
      </c>
      <c r="E631">
        <f ca="1" t="shared" si="101"/>
        <v>1</v>
      </c>
      <c r="F631">
        <f ca="1" t="shared" si="102"/>
        <v>0.777639774912</v>
      </c>
      <c r="G631">
        <f ca="1" t="shared" si="103"/>
        <v>0.0874299041616</v>
      </c>
      <c r="H631">
        <f ca="1" t="shared" si="104"/>
        <v>0.89138457408</v>
      </c>
      <c r="I631">
        <f ca="1" t="shared" si="105"/>
        <v>1947</v>
      </c>
      <c r="J631">
        <f ca="1" t="shared" si="106"/>
        <v>287</v>
      </c>
      <c r="K631">
        <f ca="1" t="shared" si="107"/>
        <v>28649</v>
      </c>
      <c r="L631">
        <f ca="1" t="shared" si="108"/>
        <v>4124</v>
      </c>
      <c r="M631">
        <f ca="1" t="shared" si="109"/>
        <v>0.0332367043008</v>
      </c>
    </row>
    <row r="632" spans="1:13">
      <c r="A632" t="str">
        <f ca="1">OFFSET($N$2,(ROW(632:632)-2)/35,0)</f>
        <v>广东省</v>
      </c>
      <c r="B632">
        <f ca="1">OFFSET($O$1,0,MOD(ROW(632:632)-2,35))</f>
        <v>1990</v>
      </c>
      <c r="C632">
        <f ca="1" t="shared" si="99"/>
        <v>0.1272264</v>
      </c>
      <c r="D632">
        <f ca="1" t="shared" si="100"/>
        <v>4</v>
      </c>
      <c r="E632">
        <f ca="1" t="shared" si="101"/>
        <v>0</v>
      </c>
      <c r="F632">
        <f ca="1" t="shared" si="102"/>
        <v>0.21275222696</v>
      </c>
      <c r="G632">
        <f ca="1" t="shared" si="103"/>
        <v>0.0299618172</v>
      </c>
      <c r="H632">
        <f ca="1" t="shared" si="104"/>
        <v>0.26388663756</v>
      </c>
      <c r="I632">
        <f ca="1" t="shared" si="105"/>
        <v>611</v>
      </c>
      <c r="J632">
        <f ca="1" t="shared" si="106"/>
        <v>13</v>
      </c>
      <c r="K632">
        <f ca="1" t="shared" si="107"/>
        <v>11198</v>
      </c>
      <c r="L632">
        <f ca="1" t="shared" si="108"/>
        <v>1467</v>
      </c>
      <c r="M632">
        <f ca="1" t="shared" si="109"/>
        <v>0.010646668656</v>
      </c>
    </row>
    <row r="633" spans="1:13">
      <c r="A633" t="str">
        <f ca="1">OFFSET($N$2,(ROW(633:633)-2)/35,0)</f>
        <v>广东省</v>
      </c>
      <c r="B633">
        <f ca="1">OFFSET($O$1,0,MOD(ROW(633:633)-2,35))</f>
        <v>1991</v>
      </c>
      <c r="C633">
        <f ca="1" t="shared" si="99"/>
        <v>0.1393854</v>
      </c>
      <c r="D633">
        <f ca="1" t="shared" si="100"/>
        <v>4</v>
      </c>
      <c r="E633">
        <f ca="1" t="shared" si="101"/>
        <v>0</v>
      </c>
      <c r="F633">
        <f ca="1" t="shared" si="102"/>
        <v>0.26810317072</v>
      </c>
      <c r="G633">
        <f ca="1" t="shared" si="103"/>
        <v>0.033727085238</v>
      </c>
      <c r="H633">
        <f ca="1" t="shared" si="104"/>
        <v>0.32370168369</v>
      </c>
      <c r="I633">
        <f ca="1" t="shared" si="105"/>
        <v>566</v>
      </c>
      <c r="J633">
        <f ca="1" t="shared" si="106"/>
        <v>17</v>
      </c>
      <c r="K633">
        <f ca="1" t="shared" si="107"/>
        <v>15448</v>
      </c>
      <c r="L633">
        <f ca="1" t="shared" si="108"/>
        <v>2245</v>
      </c>
      <c r="M633">
        <f ca="1" t="shared" si="109"/>
        <v>0.010118981796</v>
      </c>
    </row>
    <row r="634" spans="1:13">
      <c r="A634" t="str">
        <f ca="1">OFFSET($N$2,(ROW(634:634)-2)/35,0)</f>
        <v>广东省</v>
      </c>
      <c r="B634">
        <f ca="1">OFFSET($O$1,0,MOD(ROW(634:634)-2,35))</f>
        <v>1992</v>
      </c>
      <c r="C634">
        <f ca="1" t="shared" si="99"/>
        <v>0.15594768</v>
      </c>
      <c r="D634">
        <f ca="1" t="shared" si="100"/>
        <v>4</v>
      </c>
      <c r="E634">
        <f ca="1" t="shared" si="101"/>
        <v>0</v>
      </c>
      <c r="F634">
        <f ca="1" t="shared" si="102"/>
        <v>0.286637034096</v>
      </c>
      <c r="G634">
        <f ca="1" t="shared" si="103"/>
        <v>0.033789963564</v>
      </c>
      <c r="H634">
        <f ca="1" t="shared" si="104"/>
        <v>0.379841764176</v>
      </c>
      <c r="I634">
        <f ca="1" t="shared" si="105"/>
        <v>806</v>
      </c>
      <c r="J634">
        <f ca="1" t="shared" si="106"/>
        <v>21</v>
      </c>
      <c r="K634">
        <f ca="1" t="shared" si="107"/>
        <v>16448</v>
      </c>
      <c r="L634">
        <f ca="1" t="shared" si="108"/>
        <v>2817</v>
      </c>
      <c r="M634">
        <f ca="1" t="shared" si="109"/>
        <v>0.0120823806816</v>
      </c>
    </row>
    <row r="635" spans="1:13">
      <c r="A635" t="str">
        <f ca="1">OFFSET($N$2,(ROW(635:635)-2)/35,0)</f>
        <v>广东省</v>
      </c>
      <c r="B635">
        <f ca="1">OFFSET($O$1,0,MOD(ROW(635:635)-2,35))</f>
        <v>1993</v>
      </c>
      <c r="C635">
        <f ca="1" t="shared" si="99"/>
        <v>0.17265612</v>
      </c>
      <c r="D635">
        <f ca="1" t="shared" si="100"/>
        <v>4</v>
      </c>
      <c r="E635">
        <f ca="1" t="shared" si="101"/>
        <v>0</v>
      </c>
      <c r="F635">
        <f ca="1" t="shared" si="102"/>
        <v>0.326711420672</v>
      </c>
      <c r="G635">
        <f ca="1" t="shared" si="103"/>
        <v>0.0425191593918</v>
      </c>
      <c r="H635">
        <f ca="1" t="shared" si="104"/>
        <v>0.401831220882</v>
      </c>
      <c r="I635">
        <f ca="1" t="shared" si="105"/>
        <v>808</v>
      </c>
      <c r="J635">
        <f ca="1" t="shared" si="106"/>
        <v>27</v>
      </c>
      <c r="K635">
        <f ca="1" t="shared" si="107"/>
        <v>14978</v>
      </c>
      <c r="L635">
        <f ca="1" t="shared" si="108"/>
        <v>3003</v>
      </c>
      <c r="M635">
        <f ca="1" t="shared" si="109"/>
        <v>0.0146974755408</v>
      </c>
    </row>
    <row r="636" spans="1:13">
      <c r="A636" t="str">
        <f ca="1">OFFSET($N$2,(ROW(636:636)-2)/35,0)</f>
        <v>广东省</v>
      </c>
      <c r="B636">
        <f ca="1">OFFSET($O$1,0,MOD(ROW(636:636)-2,35))</f>
        <v>1994</v>
      </c>
      <c r="C636">
        <f ca="1" t="shared" si="99"/>
        <v>0.17768184</v>
      </c>
      <c r="D636">
        <f ca="1" t="shared" si="100"/>
        <v>5</v>
      </c>
      <c r="E636">
        <f ca="1" t="shared" si="101"/>
        <v>0</v>
      </c>
      <c r="F636">
        <f ca="1" t="shared" si="102"/>
        <v>0.353124888816</v>
      </c>
      <c r="G636">
        <f ca="1" t="shared" si="103"/>
        <v>0.0415846578336</v>
      </c>
      <c r="H636">
        <f ca="1" t="shared" si="104"/>
        <v>0.41626413066</v>
      </c>
      <c r="I636">
        <f ca="1" t="shared" si="105"/>
        <v>798</v>
      </c>
      <c r="J636">
        <f ca="1" t="shared" si="106"/>
        <v>22</v>
      </c>
      <c r="K636">
        <f ca="1" t="shared" si="107"/>
        <v>15987</v>
      </c>
      <c r="L636">
        <f ca="1" t="shared" si="108"/>
        <v>2842</v>
      </c>
      <c r="M636">
        <f ca="1" t="shared" si="109"/>
        <v>0.0136426655064</v>
      </c>
    </row>
    <row r="637" spans="1:13">
      <c r="A637" t="str">
        <f ca="1">OFFSET($N$2,(ROW(637:637)-2)/35,0)</f>
        <v>广东省</v>
      </c>
      <c r="B637">
        <f ca="1">OFFSET($O$1,0,MOD(ROW(637:637)-2,35))</f>
        <v>1995</v>
      </c>
      <c r="C637">
        <f ca="1" t="shared" si="99"/>
        <v>0.1934982</v>
      </c>
      <c r="D637">
        <f ca="1" t="shared" si="100"/>
        <v>5</v>
      </c>
      <c r="E637">
        <f ca="1" t="shared" si="101"/>
        <v>0</v>
      </c>
      <c r="F637">
        <f ca="1" t="shared" si="102"/>
        <v>0.35002534392</v>
      </c>
      <c r="G637">
        <f ca="1" t="shared" si="103"/>
        <v>0.039819994578</v>
      </c>
      <c r="H637">
        <f ca="1" t="shared" si="104"/>
        <v>0.41507298882</v>
      </c>
      <c r="I637">
        <f ca="1" t="shared" si="105"/>
        <v>1152</v>
      </c>
      <c r="J637">
        <f ca="1" t="shared" si="106"/>
        <v>38</v>
      </c>
      <c r="K637">
        <f ca="1" t="shared" si="107"/>
        <v>22098</v>
      </c>
      <c r="L637">
        <f ca="1" t="shared" si="108"/>
        <v>3260</v>
      </c>
      <c r="M637">
        <f ca="1" t="shared" si="109"/>
        <v>0.016286743494</v>
      </c>
    </row>
    <row r="638" spans="1:13">
      <c r="A638" t="str">
        <f ca="1">OFFSET($N$2,(ROW(638:638)-2)/35,0)</f>
        <v>广东省</v>
      </c>
      <c r="B638">
        <f ca="1">OFFSET($O$1,0,MOD(ROW(638:638)-2,35))</f>
        <v>1996</v>
      </c>
      <c r="C638">
        <f ca="1" t="shared" si="99"/>
        <v>0.20776896</v>
      </c>
      <c r="D638">
        <f ca="1" t="shared" si="100"/>
        <v>5</v>
      </c>
      <c r="E638">
        <f ca="1" t="shared" si="101"/>
        <v>0</v>
      </c>
      <c r="F638">
        <f ca="1" t="shared" si="102"/>
        <v>0.389026600704</v>
      </c>
      <c r="G638">
        <f ca="1" t="shared" si="103"/>
        <v>0.0480195620352</v>
      </c>
      <c r="H638">
        <f ca="1" t="shared" si="104"/>
        <v>0.5111116416</v>
      </c>
      <c r="I638">
        <f ca="1" t="shared" si="105"/>
        <v>1117</v>
      </c>
      <c r="J638">
        <f ca="1" t="shared" si="106"/>
        <v>30</v>
      </c>
      <c r="K638">
        <f ca="1" t="shared" si="107"/>
        <v>24328</v>
      </c>
      <c r="L638">
        <f ca="1" t="shared" si="108"/>
        <v>3932</v>
      </c>
      <c r="M638">
        <f ca="1" t="shared" si="109"/>
        <v>0.01504840896</v>
      </c>
    </row>
    <row r="639" spans="1:13">
      <c r="A639" t="str">
        <f ca="1">OFFSET($N$2,(ROW(639:639)-2)/35,0)</f>
        <v>广东省</v>
      </c>
      <c r="B639">
        <f ca="1">OFFSET($O$1,0,MOD(ROW(639:639)-2,35))</f>
        <v>1997</v>
      </c>
      <c r="C639">
        <f ca="1" t="shared" si="99"/>
        <v>0.21975492</v>
      </c>
      <c r="D639">
        <f ca="1" t="shared" si="100"/>
        <v>5</v>
      </c>
      <c r="E639">
        <f ca="1" t="shared" si="101"/>
        <v>0</v>
      </c>
      <c r="F639">
        <f ca="1" t="shared" si="102"/>
        <v>0.37655005542</v>
      </c>
      <c r="G639">
        <f ca="1" t="shared" si="103"/>
        <v>0.0490514956932</v>
      </c>
      <c r="H639">
        <f ca="1" t="shared" si="104"/>
        <v>0.510589568874</v>
      </c>
      <c r="I639">
        <f ca="1" t="shared" si="105"/>
        <v>1069</v>
      </c>
      <c r="J639">
        <f ca="1" t="shared" si="106"/>
        <v>38</v>
      </c>
      <c r="K639">
        <f ca="1" t="shared" si="107"/>
        <v>23616</v>
      </c>
      <c r="L639">
        <f ca="1" t="shared" si="108"/>
        <v>4247</v>
      </c>
      <c r="M639">
        <f ca="1" t="shared" si="109"/>
        <v>0.017536442616</v>
      </c>
    </row>
    <row r="640" spans="1:13">
      <c r="A640" t="str">
        <f ca="1">OFFSET($N$2,(ROW(640:640)-2)/35,0)</f>
        <v>广东省</v>
      </c>
      <c r="B640">
        <f ca="1">OFFSET($O$1,0,MOD(ROW(640:640)-2,35))</f>
        <v>1998</v>
      </c>
      <c r="C640">
        <f ca="1" t="shared" si="99"/>
        <v>0.23720256</v>
      </c>
      <c r="D640">
        <f ca="1" t="shared" si="100"/>
        <v>5</v>
      </c>
      <c r="E640">
        <f ca="1" t="shared" si="101"/>
        <v>0</v>
      </c>
      <c r="F640">
        <f ca="1" t="shared" si="102"/>
        <v>0.448439346432</v>
      </c>
      <c r="G640">
        <f ca="1" t="shared" si="103"/>
        <v>0.049172090688</v>
      </c>
      <c r="H640">
        <f ca="1" t="shared" si="104"/>
        <v>0.563676303456</v>
      </c>
      <c r="I640">
        <f ca="1" t="shared" si="105"/>
        <v>1023</v>
      </c>
      <c r="J640">
        <f ca="1" t="shared" si="106"/>
        <v>39</v>
      </c>
      <c r="K640">
        <f ca="1" t="shared" si="107"/>
        <v>18836</v>
      </c>
      <c r="L640">
        <f ca="1" t="shared" si="108"/>
        <v>3038</v>
      </c>
      <c r="M640">
        <f ca="1" t="shared" si="109"/>
        <v>0.017276817888</v>
      </c>
    </row>
    <row r="641" spans="1:13">
      <c r="A641" t="str">
        <f ca="1">OFFSET($N$2,(ROW(641:641)-2)/35,0)</f>
        <v>广东省</v>
      </c>
      <c r="B641">
        <f ca="1">OFFSET($O$1,0,MOD(ROW(641:641)-2,35))</f>
        <v>1999</v>
      </c>
      <c r="C641">
        <f ca="1" t="shared" si="99"/>
        <v>0.2446668</v>
      </c>
      <c r="D641">
        <f ca="1" t="shared" si="100"/>
        <v>6</v>
      </c>
      <c r="E641">
        <f ca="1" t="shared" si="101"/>
        <v>0</v>
      </c>
      <c r="F641">
        <f ca="1" t="shared" si="102"/>
        <v>0.4881510438</v>
      </c>
      <c r="G641">
        <f ca="1" t="shared" si="103"/>
        <v>0.060143992776</v>
      </c>
      <c r="H641">
        <f ca="1" t="shared" si="104"/>
        <v>0.4930647687</v>
      </c>
      <c r="I641">
        <f ca="1" t="shared" si="105"/>
        <v>1440</v>
      </c>
      <c r="J641">
        <f ca="1" t="shared" si="106"/>
        <v>25</v>
      </c>
      <c r="K641">
        <f ca="1" t="shared" si="107"/>
        <v>14875</v>
      </c>
      <c r="L641">
        <f ca="1" t="shared" si="108"/>
        <v>3623</v>
      </c>
      <c r="M641">
        <f ca="1" t="shared" si="109"/>
        <v>0.018955385568</v>
      </c>
    </row>
    <row r="642" spans="1:13">
      <c r="A642" t="str">
        <f ca="1">OFFSET($N$2,(ROW(642:642)-2)/35,0)</f>
        <v>广东省</v>
      </c>
      <c r="B642">
        <f ca="1">OFFSET($O$1,0,MOD(ROW(642:642)-2,35))</f>
        <v>2000</v>
      </c>
      <c r="C642">
        <f ca="1" t="shared" si="99"/>
        <v>0.261912</v>
      </c>
      <c r="D642">
        <f ca="1" t="shared" si="100"/>
        <v>6</v>
      </c>
      <c r="E642">
        <f ca="1" t="shared" si="101"/>
        <v>0</v>
      </c>
      <c r="F642">
        <f ca="1" t="shared" si="102"/>
        <v>0.500382876</v>
      </c>
      <c r="G642">
        <f ca="1" t="shared" si="103"/>
        <v>0.0639916494</v>
      </c>
      <c r="H642">
        <f ca="1" t="shared" si="104"/>
        <v>0.5625476892</v>
      </c>
      <c r="I642">
        <f ca="1" t="shared" si="105"/>
        <v>1371</v>
      </c>
      <c r="J642">
        <f ca="1" t="shared" si="106"/>
        <v>28</v>
      </c>
      <c r="K642">
        <f ca="1" t="shared" si="107"/>
        <v>17497</v>
      </c>
      <c r="L642">
        <f ca="1" t="shared" si="108"/>
        <v>5084</v>
      </c>
      <c r="M642">
        <f ca="1" t="shared" si="109"/>
        <v>0.02154076536</v>
      </c>
    </row>
    <row r="643" spans="1:13">
      <c r="A643" t="str">
        <f ca="1">OFFSET($N$2,(ROW(643:643)-2)/35,0)</f>
        <v>广东省</v>
      </c>
      <c r="B643">
        <f ca="1">OFFSET($O$1,0,MOD(ROW(643:643)-2,35))</f>
        <v>2001</v>
      </c>
      <c r="C643">
        <f ca="1" t="shared" ref="C643:C706" si="110">IF(OR(A643="北京市",A643="上海市",A643="广东省"),(B643-1980)*RANDBETWEEN(15000,16000)/500000,IF(OR(A643="西藏自治区",A643="新疆维吾尔自治区",A643="青海省",A643="广西壮族自治区",A643="内蒙古自治区",A643="宁夏回族自治区",A643="贵州省",A643="甘肃省",A643="陕西省",A643="云南省"),(B643-1980)*RANDBETWEEN(7000,8000)/500000,IF(OR(A643="浙江省",A643="江苏省",A643="山东省",A643="辽宁省"),(B643-1980)*RANDBETWEEN(13000,14000)/500000,(B643-1980)*RANDBETWEEN(10000,11000)/500000)))*0.42</f>
        <v>0.27504288</v>
      </c>
      <c r="D643">
        <f ca="1" t="shared" ref="D643:D706" si="111">IF($B643=1990,ROUND($C643*RANDBETWEEN(10000,20000)/500,0),ROUND(D642+RANDBETWEEN(0,5)/10,0))</f>
        <v>6</v>
      </c>
      <c r="E643">
        <f ca="1" t="shared" ref="E643:E706" si="112">IF($B643=1990,ROUND($C643*RANDBETWEEN(10000,20000)/5000,0),ROUND(E642+RANDBETWEEN(0,20)/40,0))</f>
        <v>0</v>
      </c>
      <c r="F643">
        <f ca="1" t="shared" ref="F643:F706" si="113">$C643*RANDBETWEEN(50000,60000)/30000</f>
        <v>0.522187243872</v>
      </c>
      <c r="G643">
        <f ca="1" t="shared" ref="G643:G706" si="114">$C643*RANDBETWEEN(40000,50000)/200000</f>
        <v>0.0627042757824</v>
      </c>
      <c r="H643">
        <f ca="1" t="shared" ref="H643:H706" si="115">$C643*RANDBETWEEN(40000,50000)/20000</f>
        <v>0.654629558688</v>
      </c>
      <c r="I643">
        <f ca="1" t="shared" ref="I643:I706" si="116">ROUND($C643*RANDBETWEEN(20000,30000)/5,0)</f>
        <v>1603</v>
      </c>
      <c r="J643">
        <f ca="1" t="shared" ref="J643:J706" si="117">IF(B643&lt;2015,ROUND($C643*RANDBETWEEN(10000,20000)/100,0),IF(B643&lt;2018,ROUND($C643*RANDBETWEEN(10000,20000)/70,0),ROUND($C643*RANDBETWEEN(10000,20000)/20,0)))</f>
        <v>49</v>
      </c>
      <c r="K643">
        <f ca="1" t="shared" ref="K643:K706" si="118">ROUND($C643*RANDBETWEEN(10000,20000)*6,0)</f>
        <v>28734</v>
      </c>
      <c r="L643">
        <f ca="1" t="shared" ref="L643:L706" si="119">ROUND($C643*RANDBETWEEN(10000,20000)*1,0)</f>
        <v>3351</v>
      </c>
      <c r="M643">
        <f ca="1" t="shared" ref="M643:M706" si="120">$C643*RANDBETWEEN(50000,60000)/700000</f>
        <v>0.0210989322432</v>
      </c>
    </row>
    <row r="644" spans="1:13">
      <c r="A644" t="str">
        <f ca="1">OFFSET($N$2,(ROW(644:644)-2)/35,0)</f>
        <v>广东省</v>
      </c>
      <c r="B644">
        <f ca="1">OFFSET($O$1,0,MOD(ROW(644:644)-2,35))</f>
        <v>2002</v>
      </c>
      <c r="C644">
        <f ca="1" t="shared" si="110"/>
        <v>0.27790224</v>
      </c>
      <c r="D644">
        <f ca="1" t="shared" si="111"/>
        <v>6</v>
      </c>
      <c r="E644">
        <f ca="1" t="shared" si="112"/>
        <v>0</v>
      </c>
      <c r="F644">
        <f ca="1" t="shared" si="113"/>
        <v>0.536434693872</v>
      </c>
      <c r="G644">
        <f ca="1" t="shared" si="114"/>
        <v>0.0672829113264</v>
      </c>
      <c r="H644">
        <f ca="1" t="shared" si="115"/>
        <v>0.579245533944</v>
      </c>
      <c r="I644">
        <f ca="1" t="shared" si="116"/>
        <v>1596</v>
      </c>
      <c r="J644">
        <f ca="1" t="shared" si="117"/>
        <v>41</v>
      </c>
      <c r="K644">
        <f ca="1" t="shared" si="118"/>
        <v>32930</v>
      </c>
      <c r="L644">
        <f ca="1" t="shared" si="119"/>
        <v>5459</v>
      </c>
      <c r="M644">
        <f ca="1" t="shared" si="120"/>
        <v>0.0234744022128</v>
      </c>
    </row>
    <row r="645" spans="1:13">
      <c r="A645" t="str">
        <f ca="1">OFFSET($N$2,(ROW(645:645)-2)/35,0)</f>
        <v>广东省</v>
      </c>
      <c r="B645">
        <f ca="1">OFFSET($O$1,0,MOD(ROW(645:645)-2,35))</f>
        <v>2003</v>
      </c>
      <c r="C645">
        <f ca="1" t="shared" si="110"/>
        <v>0.29406972</v>
      </c>
      <c r="D645">
        <f ca="1" t="shared" si="111"/>
        <v>6</v>
      </c>
      <c r="E645">
        <f ca="1" t="shared" si="112"/>
        <v>0</v>
      </c>
      <c r="F645">
        <f ca="1" t="shared" si="113"/>
        <v>0.504300162828</v>
      </c>
      <c r="G645">
        <f ca="1" t="shared" si="114"/>
        <v>0.059850539763</v>
      </c>
      <c r="H645">
        <f ca="1" t="shared" si="115"/>
        <v>0.672037531116</v>
      </c>
      <c r="I645">
        <f ca="1" t="shared" si="116"/>
        <v>1243</v>
      </c>
      <c r="J645">
        <f ca="1" t="shared" si="117"/>
        <v>53</v>
      </c>
      <c r="K645">
        <f ca="1" t="shared" si="118"/>
        <v>33993</v>
      </c>
      <c r="L645">
        <f ca="1" t="shared" si="119"/>
        <v>4841</v>
      </c>
      <c r="M645">
        <f ca="1" t="shared" si="120"/>
        <v>0.0232243661868</v>
      </c>
    </row>
    <row r="646" spans="1:13">
      <c r="A646" t="str">
        <f ca="1">OFFSET($N$2,(ROW(646:646)-2)/35,0)</f>
        <v>广东省</v>
      </c>
      <c r="B646">
        <f ca="1">OFFSET($O$1,0,MOD(ROW(646:646)-2,35))</f>
        <v>2004</v>
      </c>
      <c r="C646">
        <f ca="1" t="shared" si="110"/>
        <v>0.30665376</v>
      </c>
      <c r="D646">
        <f ca="1" t="shared" si="111"/>
        <v>6</v>
      </c>
      <c r="E646">
        <f ca="1" t="shared" si="112"/>
        <v>0</v>
      </c>
      <c r="F646">
        <f ca="1" t="shared" si="113"/>
        <v>0.537748033536</v>
      </c>
      <c r="G646">
        <f ca="1" t="shared" si="114"/>
        <v>0.0712908661248</v>
      </c>
      <c r="H646">
        <f ca="1" t="shared" si="115"/>
        <v>0.689449648608</v>
      </c>
      <c r="I646">
        <f ca="1" t="shared" si="116"/>
        <v>1666</v>
      </c>
      <c r="J646">
        <f ca="1" t="shared" si="117"/>
        <v>57</v>
      </c>
      <c r="K646">
        <f ca="1" t="shared" si="118"/>
        <v>18971</v>
      </c>
      <c r="L646">
        <f ca="1" t="shared" si="119"/>
        <v>5775</v>
      </c>
      <c r="M646">
        <f ca="1" t="shared" si="120"/>
        <v>0.0229762520064</v>
      </c>
    </row>
    <row r="647" spans="1:13">
      <c r="A647" t="str">
        <f ca="1">OFFSET($N$2,(ROW(647:647)-2)/35,0)</f>
        <v>广东省</v>
      </c>
      <c r="B647">
        <f ca="1">OFFSET($O$1,0,MOD(ROW(647:647)-2,35))</f>
        <v>2005</v>
      </c>
      <c r="C647">
        <f ca="1" t="shared" si="110"/>
        <v>0.326613</v>
      </c>
      <c r="D647">
        <f ca="1" t="shared" si="111"/>
        <v>7</v>
      </c>
      <c r="E647">
        <f ca="1" t="shared" si="112"/>
        <v>0</v>
      </c>
      <c r="F647">
        <f ca="1" t="shared" si="113"/>
        <v>0.6296989769</v>
      </c>
      <c r="G647">
        <f ca="1" t="shared" si="114"/>
        <v>0.072875525625</v>
      </c>
      <c r="H647">
        <f ca="1" t="shared" si="115"/>
        <v>0.7707086961</v>
      </c>
      <c r="I647">
        <f ca="1" t="shared" si="116"/>
        <v>1845</v>
      </c>
      <c r="J647">
        <f ca="1" t="shared" si="117"/>
        <v>60</v>
      </c>
      <c r="K647">
        <f ca="1" t="shared" si="118"/>
        <v>21082</v>
      </c>
      <c r="L647">
        <f ca="1" t="shared" si="119"/>
        <v>6197</v>
      </c>
      <c r="M647">
        <f ca="1" t="shared" si="120"/>
        <v>0.02357912565</v>
      </c>
    </row>
    <row r="648" spans="1:13">
      <c r="A648" t="str">
        <f ca="1">OFFSET($N$2,(ROW(648:648)-2)/35,0)</f>
        <v>广东省</v>
      </c>
      <c r="B648">
        <f ca="1">OFFSET($O$1,0,MOD(ROW(648:648)-2,35))</f>
        <v>2006</v>
      </c>
      <c r="C648">
        <f ca="1" t="shared" si="110"/>
        <v>0.33113808</v>
      </c>
      <c r="D648">
        <f ca="1" t="shared" si="111"/>
        <v>7</v>
      </c>
      <c r="E648">
        <f ca="1" t="shared" si="112"/>
        <v>0</v>
      </c>
      <c r="F648">
        <f ca="1" t="shared" si="113"/>
        <v>0.63241854312</v>
      </c>
      <c r="G648">
        <f ca="1" t="shared" si="114"/>
        <v>0.0766485313776</v>
      </c>
      <c r="H648">
        <f ca="1" t="shared" si="115"/>
        <v>0.716152325616</v>
      </c>
      <c r="I648">
        <f ca="1" t="shared" si="116"/>
        <v>1368</v>
      </c>
      <c r="J648">
        <f ca="1" t="shared" si="117"/>
        <v>44</v>
      </c>
      <c r="K648">
        <f ca="1" t="shared" si="118"/>
        <v>29727</v>
      </c>
      <c r="L648">
        <f ca="1" t="shared" si="119"/>
        <v>4417</v>
      </c>
      <c r="M648">
        <f ca="1" t="shared" si="120"/>
        <v>0.028340689104</v>
      </c>
    </row>
    <row r="649" spans="1:13">
      <c r="A649" t="str">
        <f ca="1">OFFSET($N$2,(ROW(649:649)-2)/35,0)</f>
        <v>广东省</v>
      </c>
      <c r="B649">
        <f ca="1">OFFSET($O$1,0,MOD(ROW(649:649)-2,35))</f>
        <v>2007</v>
      </c>
      <c r="C649">
        <f ca="1" t="shared" si="110"/>
        <v>0.34714008</v>
      </c>
      <c r="D649">
        <f ca="1" t="shared" si="111"/>
        <v>7</v>
      </c>
      <c r="E649">
        <f ca="1" t="shared" si="112"/>
        <v>0</v>
      </c>
      <c r="F649">
        <f ca="1" t="shared" si="113"/>
        <v>0.656916316056</v>
      </c>
      <c r="G649">
        <f ca="1" t="shared" si="114"/>
        <v>0.077403559338</v>
      </c>
      <c r="H649">
        <f ca="1" t="shared" si="115"/>
        <v>0.757008372456</v>
      </c>
      <c r="I649">
        <f ca="1" t="shared" si="116"/>
        <v>2072</v>
      </c>
      <c r="J649">
        <f ca="1" t="shared" si="117"/>
        <v>66</v>
      </c>
      <c r="K649">
        <f ca="1" t="shared" si="118"/>
        <v>27635</v>
      </c>
      <c r="L649">
        <f ca="1" t="shared" si="119"/>
        <v>6038</v>
      </c>
      <c r="M649">
        <f ca="1" t="shared" si="120"/>
        <v>0.0270600651504</v>
      </c>
    </row>
    <row r="650" spans="1:13">
      <c r="A650" t="str">
        <f ca="1">OFFSET($N$2,(ROW(650:650)-2)/35,0)</f>
        <v>广东省</v>
      </c>
      <c r="B650">
        <f ca="1">OFFSET($O$1,0,MOD(ROW(650:650)-2,35))</f>
        <v>2008</v>
      </c>
      <c r="C650">
        <f ca="1" t="shared" si="110"/>
        <v>0.35541072</v>
      </c>
      <c r="D650">
        <f ca="1" t="shared" si="111"/>
        <v>7</v>
      </c>
      <c r="E650">
        <f ca="1" t="shared" si="112"/>
        <v>0</v>
      </c>
      <c r="F650">
        <f ca="1" t="shared" si="113"/>
        <v>0.648825963408</v>
      </c>
      <c r="G650">
        <f ca="1" t="shared" si="114"/>
        <v>0.072832541796</v>
      </c>
      <c r="H650">
        <f ca="1" t="shared" si="115"/>
        <v>0.795977848512</v>
      </c>
      <c r="I650">
        <f ca="1" t="shared" si="116"/>
        <v>1894</v>
      </c>
      <c r="J650">
        <f ca="1" t="shared" si="117"/>
        <v>68</v>
      </c>
      <c r="K650">
        <f ca="1" t="shared" si="118"/>
        <v>39406</v>
      </c>
      <c r="L650">
        <f ca="1" t="shared" si="119"/>
        <v>5938</v>
      </c>
      <c r="M650">
        <f ca="1" t="shared" si="120"/>
        <v>0.0286953538032</v>
      </c>
    </row>
    <row r="651" spans="1:13">
      <c r="A651" t="str">
        <f ca="1">OFFSET($N$2,(ROW(651:651)-2)/35,0)</f>
        <v>广东省</v>
      </c>
      <c r="B651">
        <f ca="1">OFFSET($O$1,0,MOD(ROW(651:651)-2,35))</f>
        <v>2009</v>
      </c>
      <c r="C651">
        <f ca="1" t="shared" si="110"/>
        <v>0.36596028</v>
      </c>
      <c r="D651">
        <f ca="1" t="shared" si="111"/>
        <v>7</v>
      </c>
      <c r="E651">
        <f ca="1" t="shared" si="112"/>
        <v>0</v>
      </c>
      <c r="F651">
        <f ca="1" t="shared" si="113"/>
        <v>0.658704106648</v>
      </c>
      <c r="G651">
        <f ca="1" t="shared" si="114"/>
        <v>0.0892137970584</v>
      </c>
      <c r="H651">
        <f ca="1" t="shared" si="115"/>
        <v>0.849814664202</v>
      </c>
      <c r="I651">
        <f ca="1" t="shared" si="116"/>
        <v>2165</v>
      </c>
      <c r="J651">
        <f ca="1" t="shared" si="117"/>
        <v>50</v>
      </c>
      <c r="K651">
        <f ca="1" t="shared" si="118"/>
        <v>22177</v>
      </c>
      <c r="L651">
        <f ca="1" t="shared" si="119"/>
        <v>5926</v>
      </c>
      <c r="M651">
        <f ca="1" t="shared" si="120"/>
        <v>0.0301258502496</v>
      </c>
    </row>
    <row r="652" spans="1:13">
      <c r="A652" t="str">
        <f ca="1">OFFSET($N$2,(ROW(652:652)-2)/35,0)</f>
        <v>广东省</v>
      </c>
      <c r="B652">
        <f ca="1">OFFSET($O$1,0,MOD(ROW(652:652)-2,35))</f>
        <v>2010</v>
      </c>
      <c r="C652">
        <f ca="1" t="shared" si="110"/>
        <v>0.3794616</v>
      </c>
      <c r="D652">
        <f ca="1" t="shared" si="111"/>
        <v>7</v>
      </c>
      <c r="E652">
        <f ca="1" t="shared" si="112"/>
        <v>0</v>
      </c>
      <c r="F652">
        <f ca="1" t="shared" si="113"/>
        <v>0.6668405184</v>
      </c>
      <c r="G652">
        <f ca="1" t="shared" si="114"/>
        <v>0.078872990868</v>
      </c>
      <c r="H652">
        <f ca="1" t="shared" si="115"/>
        <v>0.79400442492</v>
      </c>
      <c r="I652">
        <f ca="1" t="shared" si="116"/>
        <v>1658</v>
      </c>
      <c r="J652">
        <f ca="1" t="shared" si="117"/>
        <v>41</v>
      </c>
      <c r="K652">
        <f ca="1" t="shared" si="118"/>
        <v>33362</v>
      </c>
      <c r="L652">
        <f ca="1" t="shared" si="119"/>
        <v>4779</v>
      </c>
      <c r="M652">
        <f ca="1" t="shared" si="120"/>
        <v>0.031228605504</v>
      </c>
    </row>
    <row r="653" spans="1:13">
      <c r="A653" t="str">
        <f ca="1">OFFSET($N$2,(ROW(653:653)-2)/35,0)</f>
        <v>广东省</v>
      </c>
      <c r="B653">
        <f ca="1">OFFSET($O$1,0,MOD(ROW(653:653)-2,35))</f>
        <v>2011</v>
      </c>
      <c r="C653">
        <f ca="1" t="shared" si="110"/>
        <v>0.41380164</v>
      </c>
      <c r="D653">
        <f ca="1" t="shared" si="111"/>
        <v>7</v>
      </c>
      <c r="E653">
        <f ca="1" t="shared" si="112"/>
        <v>0</v>
      </c>
      <c r="F653">
        <f ca="1" t="shared" si="113"/>
        <v>0.820665205836</v>
      </c>
      <c r="G653">
        <f ca="1" t="shared" si="114"/>
        <v>0.1019379650058</v>
      </c>
      <c r="H653">
        <f ca="1" t="shared" si="115"/>
        <v>1.017372712104</v>
      </c>
      <c r="I653">
        <f ca="1" t="shared" si="116"/>
        <v>2408</v>
      </c>
      <c r="J653">
        <f ca="1" t="shared" si="117"/>
        <v>66</v>
      </c>
      <c r="K653">
        <f ca="1" t="shared" si="118"/>
        <v>48000</v>
      </c>
      <c r="L653">
        <f ca="1" t="shared" si="119"/>
        <v>5669</v>
      </c>
      <c r="M653">
        <f ca="1" t="shared" si="120"/>
        <v>0.031209510834</v>
      </c>
    </row>
    <row r="654" spans="1:13">
      <c r="A654" t="str">
        <f ca="1">OFFSET($N$2,(ROW(654:654)-2)/35,0)</f>
        <v>广东省</v>
      </c>
      <c r="B654">
        <f ca="1">OFFSET($O$1,0,MOD(ROW(654:654)-2,35))</f>
        <v>2012</v>
      </c>
      <c r="C654">
        <f ca="1" t="shared" si="110"/>
        <v>0.42419328</v>
      </c>
      <c r="D654">
        <f ca="1" t="shared" si="111"/>
        <v>7</v>
      </c>
      <c r="E654">
        <f ca="1" t="shared" si="112"/>
        <v>0</v>
      </c>
      <c r="F654">
        <f ca="1" t="shared" si="113"/>
        <v>0.72968314048</v>
      </c>
      <c r="G654">
        <f ca="1" t="shared" si="114"/>
        <v>0.0931189088256</v>
      </c>
      <c r="H654">
        <f ca="1" t="shared" si="115"/>
        <v>1.043239743168</v>
      </c>
      <c r="I654">
        <f ca="1" t="shared" si="116"/>
        <v>2058</v>
      </c>
      <c r="J654">
        <f ca="1" t="shared" si="117"/>
        <v>48</v>
      </c>
      <c r="K654">
        <f ca="1" t="shared" si="118"/>
        <v>45739</v>
      </c>
      <c r="L654">
        <f ca="1" t="shared" si="119"/>
        <v>6189</v>
      </c>
      <c r="M654">
        <f ca="1" t="shared" si="120"/>
        <v>0.0332603890944</v>
      </c>
    </row>
    <row r="655" spans="1:13">
      <c r="A655" t="str">
        <f ca="1">OFFSET($N$2,(ROW(655:655)-2)/35,0)</f>
        <v>广东省</v>
      </c>
      <c r="B655">
        <f ca="1">OFFSET($O$1,0,MOD(ROW(655:655)-2,35))</f>
        <v>2013</v>
      </c>
      <c r="C655">
        <f ca="1" t="shared" si="110"/>
        <v>0.431739</v>
      </c>
      <c r="D655">
        <f ca="1" t="shared" si="111"/>
        <v>8</v>
      </c>
      <c r="E655">
        <f ca="1" t="shared" si="112"/>
        <v>0</v>
      </c>
      <c r="F655">
        <f ca="1" t="shared" si="113"/>
        <v>0.7414541673</v>
      </c>
      <c r="G655">
        <f ca="1" t="shared" si="114"/>
        <v>0.106494900435</v>
      </c>
      <c r="H655">
        <f ca="1" t="shared" si="115"/>
        <v>0.8907207309</v>
      </c>
      <c r="I655">
        <f ca="1" t="shared" si="116"/>
        <v>2351</v>
      </c>
      <c r="J655">
        <f ca="1" t="shared" si="117"/>
        <v>59</v>
      </c>
      <c r="K655">
        <f ca="1" t="shared" si="118"/>
        <v>46809</v>
      </c>
      <c r="L655">
        <f ca="1" t="shared" si="119"/>
        <v>7377</v>
      </c>
      <c r="M655">
        <f ca="1" t="shared" si="120"/>
        <v>0.03167915751</v>
      </c>
    </row>
    <row r="656" spans="1:13">
      <c r="A656" t="str">
        <f ca="1">OFFSET($N$2,(ROW(656:656)-2)/35,0)</f>
        <v>广东省</v>
      </c>
      <c r="B656">
        <f ca="1">OFFSET($O$1,0,MOD(ROW(656:656)-2,35))</f>
        <v>2014</v>
      </c>
      <c r="C656">
        <f ca="1" t="shared" si="110"/>
        <v>0.45061968</v>
      </c>
      <c r="D656">
        <f ca="1" t="shared" si="111"/>
        <v>8</v>
      </c>
      <c r="E656">
        <f ca="1" t="shared" si="112"/>
        <v>0</v>
      </c>
      <c r="F656">
        <f ca="1" t="shared" si="113"/>
        <v>0.869350507312</v>
      </c>
      <c r="G656">
        <f ca="1" t="shared" si="114"/>
        <v>0.1123687765032</v>
      </c>
      <c r="H656">
        <f ca="1" t="shared" si="115"/>
        <v>0.986789506248</v>
      </c>
      <c r="I656">
        <f ca="1" t="shared" si="116"/>
        <v>1934</v>
      </c>
      <c r="J656">
        <f ca="1" t="shared" si="117"/>
        <v>49</v>
      </c>
      <c r="K656">
        <f ca="1" t="shared" si="118"/>
        <v>32280</v>
      </c>
      <c r="L656">
        <f ca="1" t="shared" si="119"/>
        <v>5348</v>
      </c>
      <c r="M656">
        <f ca="1" t="shared" si="120"/>
        <v>0.0380780067024</v>
      </c>
    </row>
    <row r="657" spans="1:13">
      <c r="A657" t="str">
        <f ca="1">OFFSET($N$2,(ROW(657:657)-2)/35,0)</f>
        <v>广东省</v>
      </c>
      <c r="B657">
        <f ca="1">OFFSET($O$1,0,MOD(ROW(657:657)-2,35))</f>
        <v>2015</v>
      </c>
      <c r="C657">
        <f ca="1" t="shared" si="110"/>
        <v>0.458934</v>
      </c>
      <c r="D657">
        <f ca="1" t="shared" si="111"/>
        <v>8</v>
      </c>
      <c r="E657">
        <f ca="1" t="shared" si="112"/>
        <v>0</v>
      </c>
      <c r="F657">
        <f ca="1" t="shared" si="113"/>
        <v>0.8142101072</v>
      </c>
      <c r="G657">
        <f ca="1" t="shared" si="114"/>
        <v>0.10952230443</v>
      </c>
      <c r="H657">
        <f ca="1" t="shared" si="115"/>
        <v>0.9728712399</v>
      </c>
      <c r="I657">
        <f ca="1" t="shared" si="116"/>
        <v>1879</v>
      </c>
      <c r="J657">
        <f ca="1" t="shared" si="117"/>
        <v>88</v>
      </c>
      <c r="K657">
        <f ca="1" t="shared" si="118"/>
        <v>27561</v>
      </c>
      <c r="L657">
        <f ca="1" t="shared" si="119"/>
        <v>5115</v>
      </c>
      <c r="M657">
        <f ca="1" t="shared" si="120"/>
        <v>0.03915297078</v>
      </c>
    </row>
    <row r="658" spans="1:13">
      <c r="A658" t="str">
        <f ca="1">OFFSET($N$2,(ROW(658:658)-2)/35,0)</f>
        <v>广东省</v>
      </c>
      <c r="B658">
        <f ca="1">OFFSET($O$1,0,MOD(ROW(658:658)-2,35))</f>
        <v>2016</v>
      </c>
      <c r="C658">
        <f ca="1" t="shared" si="110"/>
        <v>0.45402336</v>
      </c>
      <c r="D658">
        <f ca="1" t="shared" si="111"/>
        <v>9</v>
      </c>
      <c r="E658">
        <f ca="1" t="shared" si="112"/>
        <v>0</v>
      </c>
      <c r="F658">
        <f ca="1" t="shared" si="113"/>
        <v>0.858603576096</v>
      </c>
      <c r="G658">
        <f ca="1" t="shared" si="114"/>
        <v>0.1042278726384</v>
      </c>
      <c r="H658">
        <f ca="1" t="shared" si="115"/>
        <v>1.063504318464</v>
      </c>
      <c r="I658">
        <f ca="1" t="shared" si="116"/>
        <v>2102</v>
      </c>
      <c r="J658">
        <f ca="1" t="shared" si="117"/>
        <v>111</v>
      </c>
      <c r="K658">
        <f ca="1" t="shared" si="118"/>
        <v>53834</v>
      </c>
      <c r="L658">
        <f ca="1" t="shared" si="119"/>
        <v>6997</v>
      </c>
      <c r="M658">
        <f ca="1" t="shared" si="120"/>
        <v>0.0347905128672</v>
      </c>
    </row>
    <row r="659" spans="1:13">
      <c r="A659" t="str">
        <f ca="1">OFFSET($N$2,(ROW(659:659)-2)/35,0)</f>
        <v>广东省</v>
      </c>
      <c r="B659">
        <f ca="1">OFFSET($O$1,0,MOD(ROW(659:659)-2,35))</f>
        <v>2017</v>
      </c>
      <c r="C659">
        <f ca="1" t="shared" si="110"/>
        <v>0.48494124</v>
      </c>
      <c r="D659">
        <f ca="1" t="shared" si="111"/>
        <v>9</v>
      </c>
      <c r="E659">
        <f ca="1" t="shared" si="112"/>
        <v>0</v>
      </c>
      <c r="F659">
        <f ca="1" t="shared" si="113"/>
        <v>0.872231478972</v>
      </c>
      <c r="G659">
        <f ca="1" t="shared" si="114"/>
        <v>0.103195495872</v>
      </c>
      <c r="H659">
        <f ca="1" t="shared" si="115"/>
        <v>0.980890646148</v>
      </c>
      <c r="I659">
        <f ca="1" t="shared" si="116"/>
        <v>2215</v>
      </c>
      <c r="J659">
        <f ca="1" t="shared" si="117"/>
        <v>84</v>
      </c>
      <c r="K659">
        <f ca="1" t="shared" si="118"/>
        <v>32480</v>
      </c>
      <c r="L659">
        <f ca="1" t="shared" si="119"/>
        <v>6617</v>
      </c>
      <c r="M659">
        <f ca="1" t="shared" si="120"/>
        <v>0.0347370337944</v>
      </c>
    </row>
    <row r="660" spans="1:13">
      <c r="A660" t="str">
        <f ca="1">OFFSET($N$2,(ROW(660:660)-2)/35,0)</f>
        <v>广东省</v>
      </c>
      <c r="B660">
        <f ca="1">OFFSET($O$1,0,MOD(ROW(660:660)-2,35))</f>
        <v>2018</v>
      </c>
      <c r="C660">
        <f ca="1" t="shared" si="110"/>
        <v>0.50021832</v>
      </c>
      <c r="D660">
        <f ca="1" t="shared" si="111"/>
        <v>9</v>
      </c>
      <c r="E660">
        <f ca="1" t="shared" si="112"/>
        <v>0</v>
      </c>
      <c r="F660">
        <f ca="1" t="shared" si="113"/>
        <v>0.928755354744</v>
      </c>
      <c r="G660">
        <f ca="1" t="shared" si="114"/>
        <v>0.1010215908156</v>
      </c>
      <c r="H660">
        <f ca="1" t="shared" si="115"/>
        <v>1.00681442358</v>
      </c>
      <c r="I660">
        <f ca="1" t="shared" si="116"/>
        <v>2696</v>
      </c>
      <c r="J660">
        <f ca="1" t="shared" si="117"/>
        <v>371</v>
      </c>
      <c r="K660">
        <f ca="1" t="shared" si="118"/>
        <v>35755</v>
      </c>
      <c r="L660">
        <f ca="1" t="shared" si="119"/>
        <v>8510</v>
      </c>
      <c r="M660">
        <f ca="1" t="shared" si="120"/>
        <v>0.0370726088904</v>
      </c>
    </row>
    <row r="661" spans="1:13">
      <c r="A661" t="str">
        <f ca="1">OFFSET($N$2,(ROW(661:661)-2)/35,0)</f>
        <v>广东省</v>
      </c>
      <c r="B661">
        <f ca="1">OFFSET($O$1,0,MOD(ROW(661:661)-2,35))</f>
        <v>2019</v>
      </c>
      <c r="C661">
        <f ca="1" t="shared" si="110"/>
        <v>0.5049954</v>
      </c>
      <c r="D661">
        <f ca="1" t="shared" si="111"/>
        <v>10</v>
      </c>
      <c r="E661">
        <f ca="1" t="shared" si="112"/>
        <v>0</v>
      </c>
      <c r="F661">
        <f ca="1" t="shared" si="113"/>
        <v>0.94134509196</v>
      </c>
      <c r="G661">
        <f ca="1" t="shared" si="114"/>
        <v>0.109157280687</v>
      </c>
      <c r="H661">
        <f ca="1" t="shared" si="115"/>
        <v>1.20691375623</v>
      </c>
      <c r="I661">
        <f ca="1" t="shared" si="116"/>
        <v>2265</v>
      </c>
      <c r="J661">
        <f ca="1" t="shared" si="117"/>
        <v>444</v>
      </c>
      <c r="K661">
        <f ca="1" t="shared" si="118"/>
        <v>30969</v>
      </c>
      <c r="L661">
        <f ca="1" t="shared" si="119"/>
        <v>10091</v>
      </c>
      <c r="M661">
        <f ca="1" t="shared" si="120"/>
        <v>0.037749127572</v>
      </c>
    </row>
    <row r="662" spans="1:13">
      <c r="A662" t="str">
        <f ca="1">OFFSET($N$2,(ROW(662:662)-2)/35,0)</f>
        <v>广东省</v>
      </c>
      <c r="B662">
        <f ca="1">OFFSET($O$1,0,MOD(ROW(662:662)-2,35))</f>
        <v>2020</v>
      </c>
      <c r="C662">
        <f ca="1" t="shared" si="110"/>
        <v>0.5232864</v>
      </c>
      <c r="D662">
        <f ca="1" t="shared" si="111"/>
        <v>10</v>
      </c>
      <c r="E662">
        <f ca="1" t="shared" si="112"/>
        <v>0</v>
      </c>
      <c r="F662">
        <f ca="1" t="shared" si="113"/>
        <v>0.94477615232</v>
      </c>
      <c r="G662">
        <f ca="1" t="shared" si="114"/>
        <v>0.114013640832</v>
      </c>
      <c r="H662">
        <f ca="1" t="shared" si="115"/>
        <v>1.12046083968</v>
      </c>
      <c r="I662">
        <f ca="1" t="shared" si="116"/>
        <v>2506</v>
      </c>
      <c r="J662">
        <f ca="1" t="shared" si="117"/>
        <v>435</v>
      </c>
      <c r="K662">
        <f ca="1" t="shared" si="118"/>
        <v>47212</v>
      </c>
      <c r="L662">
        <f ca="1" t="shared" si="119"/>
        <v>8606</v>
      </c>
      <c r="M662">
        <f ca="1" t="shared" si="120"/>
        <v>0.042557387808</v>
      </c>
    </row>
    <row r="663" spans="1:13">
      <c r="A663" t="str">
        <f ca="1">OFFSET($N$2,(ROW(663:663)-2)/35,0)</f>
        <v>广东省</v>
      </c>
      <c r="B663">
        <f ca="1">OFFSET($O$1,0,MOD(ROW(663:663)-2,35))</f>
        <v>2021</v>
      </c>
      <c r="C663">
        <f ca="1" t="shared" si="110"/>
        <v>0.5238324</v>
      </c>
      <c r="D663">
        <f ca="1" t="shared" si="111"/>
        <v>10</v>
      </c>
      <c r="E663">
        <f ca="1" t="shared" si="112"/>
        <v>0</v>
      </c>
      <c r="F663">
        <f ca="1" t="shared" si="113"/>
        <v>1.02615274944</v>
      </c>
      <c r="G663">
        <f ca="1" t="shared" si="114"/>
        <v>0.125363569968</v>
      </c>
      <c r="H663">
        <f ca="1" t="shared" si="115"/>
        <v>1.21565785068</v>
      </c>
      <c r="I663">
        <f ca="1" t="shared" si="116"/>
        <v>2512</v>
      </c>
      <c r="J663">
        <f ca="1" t="shared" si="117"/>
        <v>462</v>
      </c>
      <c r="K663">
        <f ca="1" t="shared" si="118"/>
        <v>38319</v>
      </c>
      <c r="L663">
        <f ca="1" t="shared" si="119"/>
        <v>6734</v>
      </c>
      <c r="M663">
        <f ca="1" t="shared" si="120"/>
        <v>0.039198378492</v>
      </c>
    </row>
    <row r="664" spans="1:13">
      <c r="A664" t="str">
        <f ca="1">OFFSET($N$2,(ROW(664:664)-2)/35,0)</f>
        <v>广东省</v>
      </c>
      <c r="B664">
        <f ca="1">OFFSET($O$1,0,MOD(ROW(664:664)-2,35))</f>
        <v>2022</v>
      </c>
      <c r="C664">
        <f ca="1" t="shared" si="110"/>
        <v>0.54197136</v>
      </c>
      <c r="D664">
        <f ca="1" t="shared" si="111"/>
        <v>10</v>
      </c>
      <c r="E664">
        <f ca="1" t="shared" si="112"/>
        <v>0</v>
      </c>
      <c r="F664">
        <f ca="1" t="shared" si="113"/>
        <v>0.969333843072</v>
      </c>
      <c r="G664">
        <f ca="1" t="shared" si="114"/>
        <v>0.1350755220528</v>
      </c>
      <c r="H664">
        <f ca="1" t="shared" si="115"/>
        <v>1.260679580496</v>
      </c>
      <c r="I664">
        <f ca="1" t="shared" si="116"/>
        <v>2904</v>
      </c>
      <c r="J664">
        <f ca="1" t="shared" si="117"/>
        <v>501</v>
      </c>
      <c r="K664">
        <f ca="1" t="shared" si="118"/>
        <v>63668</v>
      </c>
      <c r="L664">
        <f ca="1" t="shared" si="119"/>
        <v>8058</v>
      </c>
      <c r="M664">
        <f ca="1" t="shared" si="120"/>
        <v>0.042838964784</v>
      </c>
    </row>
    <row r="665" spans="1:13">
      <c r="A665" t="str">
        <f ca="1">OFFSET($N$2,(ROW(665:665)-2)/35,0)</f>
        <v>广东省</v>
      </c>
      <c r="B665">
        <f ca="1">OFFSET($O$1,0,MOD(ROW(665:665)-2,35))</f>
        <v>2023</v>
      </c>
      <c r="C665">
        <f ca="1" t="shared" si="110"/>
        <v>0.55213032</v>
      </c>
      <c r="D665">
        <f ca="1" t="shared" si="111"/>
        <v>10</v>
      </c>
      <c r="E665">
        <f ca="1" t="shared" si="112"/>
        <v>0</v>
      </c>
      <c r="F665">
        <f ca="1" t="shared" si="113"/>
        <v>0.920622095568</v>
      </c>
      <c r="G665">
        <f ca="1" t="shared" si="114"/>
        <v>0.1175430238248</v>
      </c>
      <c r="H665">
        <f ca="1" t="shared" si="115"/>
        <v>1.201131904644</v>
      </c>
      <c r="I665">
        <f ca="1" t="shared" si="116"/>
        <v>2347</v>
      </c>
      <c r="J665">
        <f ca="1" t="shared" si="117"/>
        <v>481</v>
      </c>
      <c r="K665">
        <f ca="1" t="shared" si="118"/>
        <v>36176</v>
      </c>
      <c r="L665">
        <f ca="1" t="shared" si="119"/>
        <v>7210</v>
      </c>
      <c r="M665">
        <f ca="1" t="shared" si="120"/>
        <v>0.0429581051688</v>
      </c>
    </row>
    <row r="666" spans="1:13">
      <c r="A666" t="str">
        <f ca="1">OFFSET($N$2,(ROW(666:666)-2)/35,0)</f>
        <v>广东省</v>
      </c>
      <c r="B666">
        <f ca="1">OFFSET($O$1,0,MOD(ROW(666:666)-2,35))</f>
        <v>2024</v>
      </c>
      <c r="C666">
        <f ca="1" t="shared" si="110"/>
        <v>0.56323344</v>
      </c>
      <c r="D666">
        <f ca="1" t="shared" si="111"/>
        <v>10</v>
      </c>
      <c r="E666">
        <f ca="1" t="shared" si="112"/>
        <v>0</v>
      </c>
      <c r="F666">
        <f ca="1" t="shared" si="113"/>
        <v>1.007286684096</v>
      </c>
      <c r="G666">
        <f ca="1" t="shared" si="114"/>
        <v>0.1246689057768</v>
      </c>
      <c r="H666">
        <f ca="1" t="shared" si="115"/>
        <v>1.329061948368</v>
      </c>
      <c r="I666">
        <f ca="1" t="shared" si="116"/>
        <v>2544</v>
      </c>
      <c r="J666">
        <f ca="1" t="shared" si="117"/>
        <v>429</v>
      </c>
      <c r="K666">
        <f ca="1" t="shared" si="118"/>
        <v>38772</v>
      </c>
      <c r="L666">
        <f ca="1" t="shared" si="119"/>
        <v>11243</v>
      </c>
      <c r="M666">
        <f ca="1" t="shared" si="120"/>
        <v>0.0482216332752</v>
      </c>
    </row>
    <row r="667" spans="1:13">
      <c r="A667" t="str">
        <f ca="1">OFFSET($N$2,(ROW(667:667)-2)/35,0)</f>
        <v>广西壮族自治区</v>
      </c>
      <c r="B667">
        <f ca="1">OFFSET($O$1,0,MOD(ROW(667:667)-2,35))</f>
        <v>1990</v>
      </c>
      <c r="C667">
        <f ca="1" t="shared" si="110"/>
        <v>0.0670572</v>
      </c>
      <c r="D667">
        <f ca="1" t="shared" si="111"/>
        <v>2</v>
      </c>
      <c r="E667">
        <f ca="1" t="shared" si="112"/>
        <v>0</v>
      </c>
      <c r="F667">
        <f ca="1" t="shared" si="113"/>
        <v>0.13084871436</v>
      </c>
      <c r="G667">
        <f ca="1" t="shared" si="114"/>
        <v>0.015703455096</v>
      </c>
      <c r="H667">
        <f ca="1" t="shared" si="115"/>
        <v>0.15820805196</v>
      </c>
      <c r="I667">
        <f ca="1" t="shared" si="116"/>
        <v>293</v>
      </c>
      <c r="J667">
        <f ca="1" t="shared" si="117"/>
        <v>9</v>
      </c>
      <c r="K667">
        <f ca="1" t="shared" si="118"/>
        <v>5663</v>
      </c>
      <c r="L667">
        <f ca="1" t="shared" si="119"/>
        <v>911</v>
      </c>
      <c r="M667">
        <f ca="1" t="shared" si="120"/>
        <v>0.00511981722</v>
      </c>
    </row>
    <row r="668" spans="1:13">
      <c r="A668" t="str">
        <f ca="1">OFFSET($N$2,(ROW(668:668)-2)/35,0)</f>
        <v>广西壮族自治区</v>
      </c>
      <c r="B668">
        <f ca="1">OFFSET($O$1,0,MOD(ROW(668:668)-2,35))</f>
        <v>1991</v>
      </c>
      <c r="C668">
        <f ca="1" t="shared" si="110"/>
        <v>0.07293132</v>
      </c>
      <c r="D668">
        <f ca="1" t="shared" si="111"/>
        <v>2</v>
      </c>
      <c r="E668">
        <f ca="1" t="shared" si="112"/>
        <v>0</v>
      </c>
      <c r="F668">
        <f ca="1" t="shared" si="113"/>
        <v>0.128670296832</v>
      </c>
      <c r="G668">
        <f ca="1" t="shared" si="114"/>
        <v>0.014693837697</v>
      </c>
      <c r="H668">
        <f ca="1" t="shared" si="115"/>
        <v>0.158804302734</v>
      </c>
      <c r="I668">
        <f ca="1" t="shared" si="116"/>
        <v>437</v>
      </c>
      <c r="J668">
        <f ca="1" t="shared" si="117"/>
        <v>12</v>
      </c>
      <c r="K668">
        <f ca="1" t="shared" si="118"/>
        <v>6293</v>
      </c>
      <c r="L668">
        <f ca="1" t="shared" si="119"/>
        <v>1445</v>
      </c>
      <c r="M668">
        <f ca="1" t="shared" si="120"/>
        <v>0.00576678366</v>
      </c>
    </row>
    <row r="669" spans="1:13">
      <c r="A669" t="str">
        <f ca="1">OFFSET($N$2,(ROW(669:669)-2)/35,0)</f>
        <v>广西壮族自治区</v>
      </c>
      <c r="B669">
        <f ca="1">OFFSET($O$1,0,MOD(ROW(669:669)-2,35))</f>
        <v>1992</v>
      </c>
      <c r="C669">
        <f ca="1" t="shared" si="110"/>
        <v>0.07729344</v>
      </c>
      <c r="D669">
        <f ca="1" t="shared" si="111"/>
        <v>3</v>
      </c>
      <c r="E669">
        <f ca="1" t="shared" si="112"/>
        <v>0</v>
      </c>
      <c r="F669">
        <f ca="1" t="shared" si="113"/>
        <v>0.147777327936</v>
      </c>
      <c r="G669">
        <f ca="1" t="shared" si="114"/>
        <v>0.0169941221856</v>
      </c>
      <c r="H669">
        <f ca="1" t="shared" si="115"/>
        <v>0.188565076224</v>
      </c>
      <c r="I669">
        <f ca="1" t="shared" si="116"/>
        <v>330</v>
      </c>
      <c r="J669">
        <f ca="1" t="shared" si="117"/>
        <v>10</v>
      </c>
      <c r="K669">
        <f ca="1" t="shared" si="118"/>
        <v>8276</v>
      </c>
      <c r="L669">
        <f ca="1" t="shared" si="119"/>
        <v>1118</v>
      </c>
      <c r="M669">
        <f ca="1" t="shared" si="120"/>
        <v>0.0065304123264</v>
      </c>
    </row>
    <row r="670" spans="1:13">
      <c r="A670" t="str">
        <f ca="1">OFFSET($N$2,(ROW(670:670)-2)/35,0)</f>
        <v>广西壮族自治区</v>
      </c>
      <c r="B670">
        <f ca="1">OFFSET($O$1,0,MOD(ROW(670:670)-2,35))</f>
        <v>1993</v>
      </c>
      <c r="C670">
        <f ca="1" t="shared" si="110"/>
        <v>0.07883148</v>
      </c>
      <c r="D670">
        <f ca="1" t="shared" si="111"/>
        <v>3</v>
      </c>
      <c r="E670">
        <f ca="1" t="shared" si="112"/>
        <v>0</v>
      </c>
      <c r="F670">
        <f ca="1" t="shared" si="113"/>
        <v>0.134730882468</v>
      </c>
      <c r="G670">
        <f ca="1" t="shared" si="114"/>
        <v>0.0181064084838</v>
      </c>
      <c r="H670">
        <f ca="1" t="shared" si="115"/>
        <v>0.17955840357</v>
      </c>
      <c r="I670">
        <f ca="1" t="shared" si="116"/>
        <v>432</v>
      </c>
      <c r="J670">
        <f ca="1" t="shared" si="117"/>
        <v>14</v>
      </c>
      <c r="K670">
        <f ca="1" t="shared" si="118"/>
        <v>7838</v>
      </c>
      <c r="L670">
        <f ca="1" t="shared" si="119"/>
        <v>1183</v>
      </c>
      <c r="M670">
        <f ca="1" t="shared" si="120"/>
        <v>0.0062801661624</v>
      </c>
    </row>
    <row r="671" spans="1:13">
      <c r="A671" t="str">
        <f ca="1">OFFSET($N$2,(ROW(671:671)-2)/35,0)</f>
        <v>广西壮族自治区</v>
      </c>
      <c r="B671">
        <f ca="1">OFFSET($O$1,0,MOD(ROW(671:671)-2,35))</f>
        <v>1994</v>
      </c>
      <c r="C671">
        <f ca="1" t="shared" si="110"/>
        <v>0.09030504</v>
      </c>
      <c r="D671">
        <f ca="1" t="shared" si="111"/>
        <v>3</v>
      </c>
      <c r="E671">
        <f ca="1" t="shared" si="112"/>
        <v>0</v>
      </c>
      <c r="F671">
        <f ca="1" t="shared" si="113"/>
        <v>0.17344588016</v>
      </c>
      <c r="G671">
        <f ca="1" t="shared" si="114"/>
        <v>0.0204531885096</v>
      </c>
      <c r="H671">
        <f ca="1" t="shared" si="115"/>
        <v>0.210631990548</v>
      </c>
      <c r="I671">
        <f ca="1" t="shared" si="116"/>
        <v>493</v>
      </c>
      <c r="J671">
        <f ca="1" t="shared" si="117"/>
        <v>11</v>
      </c>
      <c r="K671">
        <f ca="1" t="shared" si="118"/>
        <v>7866</v>
      </c>
      <c r="L671">
        <f ca="1" t="shared" si="119"/>
        <v>1256</v>
      </c>
      <c r="M671">
        <f ca="1" t="shared" si="120"/>
        <v>0.0067414002432</v>
      </c>
    </row>
    <row r="672" spans="1:13">
      <c r="A672" t="str">
        <f ca="1">OFFSET($N$2,(ROW(672:672)-2)/35,0)</f>
        <v>广西壮族自治区</v>
      </c>
      <c r="B672">
        <f ca="1">OFFSET($O$1,0,MOD(ROW(672:672)-2,35))</f>
        <v>1995</v>
      </c>
      <c r="C672">
        <f ca="1" t="shared" si="110"/>
        <v>0.099729</v>
      </c>
      <c r="D672">
        <f ca="1" t="shared" si="111"/>
        <v>3</v>
      </c>
      <c r="E672">
        <f ca="1" t="shared" si="112"/>
        <v>0</v>
      </c>
      <c r="F672">
        <f ca="1" t="shared" si="113"/>
        <v>0.1673053704</v>
      </c>
      <c r="G672">
        <f ca="1" t="shared" si="114"/>
        <v>0.02304637461</v>
      </c>
      <c r="H672">
        <f ca="1" t="shared" si="115"/>
        <v>0.23571447795</v>
      </c>
      <c r="I672">
        <f ca="1" t="shared" si="116"/>
        <v>399</v>
      </c>
      <c r="J672">
        <f ca="1" t="shared" si="117"/>
        <v>13</v>
      </c>
      <c r="K672">
        <f ca="1" t="shared" si="118"/>
        <v>7621</v>
      </c>
      <c r="L672">
        <f ca="1" t="shared" si="119"/>
        <v>1812</v>
      </c>
      <c r="M672">
        <f ca="1" t="shared" si="120"/>
        <v>0.00822522051</v>
      </c>
    </row>
    <row r="673" spans="1:13">
      <c r="A673" t="str">
        <f ca="1">OFFSET($N$2,(ROW(673:673)-2)/35,0)</f>
        <v>广西壮族自治区</v>
      </c>
      <c r="B673">
        <f ca="1">OFFSET($O$1,0,MOD(ROW(673:673)-2,35))</f>
        <v>1996</v>
      </c>
      <c r="C673">
        <f ca="1" t="shared" si="110"/>
        <v>0.10206336</v>
      </c>
      <c r="D673">
        <f ca="1" t="shared" si="111"/>
        <v>3</v>
      </c>
      <c r="E673">
        <f ca="1" t="shared" si="112"/>
        <v>0</v>
      </c>
      <c r="F673">
        <f ca="1" t="shared" si="113"/>
        <v>0.18956568064</v>
      </c>
      <c r="G673">
        <f ca="1" t="shared" si="114"/>
        <v>0.0246702450624</v>
      </c>
      <c r="H673">
        <f ca="1" t="shared" si="115"/>
        <v>0.253581521088</v>
      </c>
      <c r="I673">
        <f ca="1" t="shared" si="116"/>
        <v>434</v>
      </c>
      <c r="J673">
        <f ca="1" t="shared" si="117"/>
        <v>16</v>
      </c>
      <c r="K673">
        <f ca="1" t="shared" si="118"/>
        <v>6540</v>
      </c>
      <c r="L673">
        <f ca="1" t="shared" si="119"/>
        <v>1871</v>
      </c>
      <c r="M673">
        <f ca="1" t="shared" si="120"/>
        <v>0.0073927407744</v>
      </c>
    </row>
    <row r="674" spans="1:13">
      <c r="A674" t="str">
        <f ca="1">OFFSET($N$2,(ROW(674:674)-2)/35,0)</f>
        <v>广西壮族自治区</v>
      </c>
      <c r="B674">
        <f ca="1">OFFSET($O$1,0,MOD(ROW(674:674)-2,35))</f>
        <v>1997</v>
      </c>
      <c r="C674">
        <f ca="1" t="shared" si="110"/>
        <v>0.1011738</v>
      </c>
      <c r="D674">
        <f ca="1" t="shared" si="111"/>
        <v>3</v>
      </c>
      <c r="E674">
        <f ca="1" t="shared" si="112"/>
        <v>0</v>
      </c>
      <c r="F674">
        <f ca="1" t="shared" si="113"/>
        <v>0.18770775114</v>
      </c>
      <c r="G674">
        <f ca="1" t="shared" si="114"/>
        <v>0.021494879679</v>
      </c>
      <c r="H674">
        <f ca="1" t="shared" si="115"/>
        <v>0.22714023969</v>
      </c>
      <c r="I674">
        <f ca="1" t="shared" si="116"/>
        <v>501</v>
      </c>
      <c r="J674">
        <f ca="1" t="shared" si="117"/>
        <v>15</v>
      </c>
      <c r="K674">
        <f ca="1" t="shared" si="118"/>
        <v>6573</v>
      </c>
      <c r="L674">
        <f ca="1" t="shared" si="119"/>
        <v>1209</v>
      </c>
      <c r="M674">
        <f ca="1" t="shared" si="120"/>
        <v>0.007280611182</v>
      </c>
    </row>
    <row r="675" spans="1:13">
      <c r="A675" t="str">
        <f ca="1">OFFSET($N$2,(ROW(675:675)-2)/35,0)</f>
        <v>广西壮族自治区</v>
      </c>
      <c r="B675">
        <f ca="1">OFFSET($O$1,0,MOD(ROW(675:675)-2,35))</f>
        <v>1998</v>
      </c>
      <c r="C675">
        <f ca="1" t="shared" si="110"/>
        <v>0.11678688</v>
      </c>
      <c r="D675">
        <f ca="1" t="shared" si="111"/>
        <v>3</v>
      </c>
      <c r="E675">
        <f ca="1" t="shared" si="112"/>
        <v>0</v>
      </c>
      <c r="F675">
        <f ca="1" t="shared" si="113"/>
        <v>0.220984134336</v>
      </c>
      <c r="G675">
        <f ca="1" t="shared" si="114"/>
        <v>0.0280411138224</v>
      </c>
      <c r="H675">
        <f ca="1" t="shared" si="115"/>
        <v>0.273567427056</v>
      </c>
      <c r="I675">
        <f ca="1" t="shared" si="116"/>
        <v>688</v>
      </c>
      <c r="J675">
        <f ca="1" t="shared" si="117"/>
        <v>23</v>
      </c>
      <c r="K675">
        <f ca="1" t="shared" si="118"/>
        <v>10052</v>
      </c>
      <c r="L675">
        <f ca="1" t="shared" si="119"/>
        <v>1322</v>
      </c>
      <c r="M675">
        <f ca="1" t="shared" si="120"/>
        <v>0.0083634421536</v>
      </c>
    </row>
    <row r="676" spans="1:13">
      <c r="A676" t="str">
        <f ca="1">OFFSET($N$2,(ROW(676:676)-2)/35,0)</f>
        <v>广西壮族自治区</v>
      </c>
      <c r="B676">
        <f ca="1">OFFSET($O$1,0,MOD(ROW(676:676)-2,35))</f>
        <v>1999</v>
      </c>
      <c r="C676">
        <f ca="1" t="shared" si="110"/>
        <v>0.12418476</v>
      </c>
      <c r="D676">
        <f ca="1" t="shared" si="111"/>
        <v>3</v>
      </c>
      <c r="E676">
        <f ca="1" t="shared" si="112"/>
        <v>0</v>
      </c>
      <c r="F676">
        <f ca="1" t="shared" si="113"/>
        <v>0.216863846388</v>
      </c>
      <c r="G676">
        <f ca="1" t="shared" si="114"/>
        <v>0.0308903381262</v>
      </c>
      <c r="H676">
        <f ca="1" t="shared" si="115"/>
        <v>0.273274773618</v>
      </c>
      <c r="I676">
        <f ca="1" t="shared" si="116"/>
        <v>570</v>
      </c>
      <c r="J676">
        <f ca="1" t="shared" si="117"/>
        <v>22</v>
      </c>
      <c r="K676">
        <f ca="1" t="shared" si="118"/>
        <v>9241</v>
      </c>
      <c r="L676">
        <f ca="1" t="shared" si="119"/>
        <v>1896</v>
      </c>
      <c r="M676">
        <f ca="1" t="shared" si="120"/>
        <v>0.009463765746</v>
      </c>
    </row>
    <row r="677" spans="1:13">
      <c r="A677" t="str">
        <f ca="1">OFFSET($N$2,(ROW(677:677)-2)/35,0)</f>
        <v>广西壮族自治区</v>
      </c>
      <c r="B677">
        <f ca="1">OFFSET($O$1,0,MOD(ROW(677:677)-2,35))</f>
        <v>2000</v>
      </c>
      <c r="C677">
        <f ca="1" t="shared" si="110"/>
        <v>0.1322832</v>
      </c>
      <c r="D677">
        <f ca="1" t="shared" si="111"/>
        <v>4</v>
      </c>
      <c r="E677">
        <f ca="1" t="shared" si="112"/>
        <v>0</v>
      </c>
      <c r="F677">
        <f ca="1" t="shared" si="113"/>
        <v>0.25470689216</v>
      </c>
      <c r="G677">
        <f ca="1" t="shared" si="114"/>
        <v>0.03275993448</v>
      </c>
      <c r="H677">
        <f ca="1" t="shared" si="115"/>
        <v>0.325251318</v>
      </c>
      <c r="I677">
        <f ca="1" t="shared" si="116"/>
        <v>541</v>
      </c>
      <c r="J677">
        <f ca="1" t="shared" si="117"/>
        <v>25</v>
      </c>
      <c r="K677">
        <f ca="1" t="shared" si="118"/>
        <v>13538</v>
      </c>
      <c r="L677">
        <f ca="1" t="shared" si="119"/>
        <v>1370</v>
      </c>
      <c r="M677">
        <f ca="1" t="shared" si="120"/>
        <v>0.009571823376</v>
      </c>
    </row>
    <row r="678" spans="1:13">
      <c r="A678" t="str">
        <f ca="1">OFFSET($N$2,(ROW(678:678)-2)/35,0)</f>
        <v>广西壮族自治区</v>
      </c>
      <c r="B678">
        <f ca="1">OFFSET($O$1,0,MOD(ROW(678:678)-2,35))</f>
        <v>2001</v>
      </c>
      <c r="C678">
        <f ca="1" t="shared" si="110"/>
        <v>0.13162968</v>
      </c>
      <c r="D678">
        <f ca="1" t="shared" si="111"/>
        <v>5</v>
      </c>
      <c r="E678">
        <f ca="1" t="shared" si="112"/>
        <v>0</v>
      </c>
      <c r="F678">
        <f ca="1" t="shared" si="113"/>
        <v>0.224257485816</v>
      </c>
      <c r="G678">
        <f ca="1" t="shared" si="114"/>
        <v>0.0263667412008</v>
      </c>
      <c r="H678">
        <f ca="1" t="shared" si="115"/>
        <v>0.28971692568</v>
      </c>
      <c r="I678">
        <f ca="1" t="shared" si="116"/>
        <v>700</v>
      </c>
      <c r="J678">
        <f ca="1" t="shared" si="117"/>
        <v>22</v>
      </c>
      <c r="K678">
        <f ca="1" t="shared" si="118"/>
        <v>7963</v>
      </c>
      <c r="L678">
        <f ca="1" t="shared" si="119"/>
        <v>2142</v>
      </c>
      <c r="M678">
        <f ca="1" t="shared" si="120"/>
        <v>0.0094822260624</v>
      </c>
    </row>
    <row r="679" spans="1:13">
      <c r="A679" t="str">
        <f ca="1">OFFSET($N$2,(ROW(679:679)-2)/35,0)</f>
        <v>广西壮族自治区</v>
      </c>
      <c r="B679">
        <f ca="1">OFFSET($O$1,0,MOD(ROW(679:679)-2,35))</f>
        <v>2002</v>
      </c>
      <c r="C679">
        <f ca="1" t="shared" si="110"/>
        <v>0.14292432</v>
      </c>
      <c r="D679">
        <f ca="1" t="shared" si="111"/>
        <v>6</v>
      </c>
      <c r="E679">
        <f ca="1" t="shared" si="112"/>
        <v>0</v>
      </c>
      <c r="F679">
        <f ca="1" t="shared" si="113"/>
        <v>0.282080202096</v>
      </c>
      <c r="G679">
        <f ca="1" t="shared" si="114"/>
        <v>0.029345936004</v>
      </c>
      <c r="H679">
        <f ca="1" t="shared" si="115"/>
        <v>0.346784423832</v>
      </c>
      <c r="I679">
        <f ca="1" t="shared" si="116"/>
        <v>615</v>
      </c>
      <c r="J679">
        <f ca="1" t="shared" si="117"/>
        <v>19</v>
      </c>
      <c r="K679">
        <f ca="1" t="shared" si="118"/>
        <v>10673</v>
      </c>
      <c r="L679">
        <f ca="1" t="shared" si="119"/>
        <v>1444</v>
      </c>
      <c r="M679">
        <f ca="1" t="shared" si="120"/>
        <v>0.0103750805664</v>
      </c>
    </row>
    <row r="680" spans="1:13">
      <c r="A680" t="str">
        <f ca="1">OFFSET($N$2,(ROW(680:680)-2)/35,0)</f>
        <v>广西壮族自治区</v>
      </c>
      <c r="B680">
        <f ca="1">OFFSET($O$1,0,MOD(ROW(680:680)-2,35))</f>
        <v>2003</v>
      </c>
      <c r="C680">
        <f ca="1" t="shared" si="110"/>
        <v>0.13583892</v>
      </c>
      <c r="D680">
        <f ca="1" t="shared" si="111"/>
        <v>6</v>
      </c>
      <c r="E680">
        <f ca="1" t="shared" si="112"/>
        <v>0</v>
      </c>
      <c r="F680">
        <f ca="1" t="shared" si="113"/>
        <v>0.23894066028</v>
      </c>
      <c r="G680">
        <f ca="1" t="shared" si="114"/>
        <v>0.0275080604946</v>
      </c>
      <c r="H680">
        <f ca="1" t="shared" si="115"/>
        <v>0.294926671158</v>
      </c>
      <c r="I680">
        <f ca="1" t="shared" si="116"/>
        <v>727</v>
      </c>
      <c r="J680">
        <f ca="1" t="shared" si="117"/>
        <v>27</v>
      </c>
      <c r="K680">
        <f ca="1" t="shared" si="118"/>
        <v>11190</v>
      </c>
      <c r="L680">
        <f ca="1" t="shared" si="119"/>
        <v>1480</v>
      </c>
      <c r="M680">
        <f ca="1" t="shared" si="120"/>
        <v>0.01099810113</v>
      </c>
    </row>
    <row r="681" spans="1:13">
      <c r="A681" t="str">
        <f ca="1">OFFSET($N$2,(ROW(681:681)-2)/35,0)</f>
        <v>广西壮族自治区</v>
      </c>
      <c r="B681">
        <f ca="1">OFFSET($O$1,0,MOD(ROW(681:681)-2,35))</f>
        <v>2004</v>
      </c>
      <c r="C681">
        <f ca="1" t="shared" si="110"/>
        <v>0.1468656</v>
      </c>
      <c r="D681">
        <f ca="1" t="shared" si="111"/>
        <v>6</v>
      </c>
      <c r="E681">
        <f ca="1" t="shared" si="112"/>
        <v>0</v>
      </c>
      <c r="F681">
        <f ca="1" t="shared" si="113"/>
        <v>0.29014278384</v>
      </c>
      <c r="G681">
        <f ca="1" t="shared" si="114"/>
        <v>0.030061919664</v>
      </c>
      <c r="H681">
        <f ca="1" t="shared" si="115"/>
        <v>0.31283107128</v>
      </c>
      <c r="I681">
        <f ca="1" t="shared" si="116"/>
        <v>879</v>
      </c>
      <c r="J681">
        <f ca="1" t="shared" si="117"/>
        <v>21</v>
      </c>
      <c r="K681">
        <f ca="1" t="shared" si="118"/>
        <v>13478</v>
      </c>
      <c r="L681">
        <f ca="1" t="shared" si="119"/>
        <v>2381</v>
      </c>
      <c r="M681">
        <f ca="1" t="shared" si="120"/>
        <v>0.011198082384</v>
      </c>
    </row>
    <row r="682" spans="1:13">
      <c r="A682" t="str">
        <f ca="1">OFFSET($N$2,(ROW(682:682)-2)/35,0)</f>
        <v>广西壮族自治区</v>
      </c>
      <c r="B682">
        <f ca="1">OFFSET($O$1,0,MOD(ROW(682:682)-2,35))</f>
        <v>2005</v>
      </c>
      <c r="C682">
        <f ca="1" t="shared" si="110"/>
        <v>0.149184</v>
      </c>
      <c r="D682">
        <f ca="1" t="shared" si="111"/>
        <v>6</v>
      </c>
      <c r="E682">
        <f ca="1" t="shared" si="112"/>
        <v>0</v>
      </c>
      <c r="F682">
        <f ca="1" t="shared" si="113"/>
        <v>0.2550002112</v>
      </c>
      <c r="G682">
        <f ca="1" t="shared" si="114"/>
        <v>0.03346868448</v>
      </c>
      <c r="H682">
        <f ca="1" t="shared" si="115"/>
        <v>0.3587726016</v>
      </c>
      <c r="I682">
        <f ca="1" t="shared" si="116"/>
        <v>638</v>
      </c>
      <c r="J682">
        <f ca="1" t="shared" si="117"/>
        <v>26</v>
      </c>
      <c r="K682">
        <f ca="1" t="shared" si="118"/>
        <v>16617</v>
      </c>
      <c r="L682">
        <f ca="1" t="shared" si="119"/>
        <v>2646</v>
      </c>
      <c r="M682">
        <f ca="1" t="shared" si="120"/>
        <v>0.01187888256</v>
      </c>
    </row>
    <row r="683" spans="1:13">
      <c r="A683" t="str">
        <f ca="1">OFFSET($N$2,(ROW(683:683)-2)/35,0)</f>
        <v>广西壮族自治区</v>
      </c>
      <c r="B683">
        <f ca="1">OFFSET($O$1,0,MOD(ROW(683:683)-2,35))</f>
        <v>2006</v>
      </c>
      <c r="C683">
        <f ca="1" t="shared" si="110"/>
        <v>0.1570296</v>
      </c>
      <c r="D683">
        <f ca="1" t="shared" si="111"/>
        <v>6</v>
      </c>
      <c r="E683">
        <f ca="1" t="shared" si="112"/>
        <v>0</v>
      </c>
      <c r="F683">
        <f ca="1" t="shared" si="113"/>
        <v>0.30090535384</v>
      </c>
      <c r="G683">
        <f ca="1" t="shared" si="114"/>
        <v>0.031899778092</v>
      </c>
      <c r="H683">
        <f ca="1" t="shared" si="115"/>
        <v>0.35263352124</v>
      </c>
      <c r="I683">
        <f ca="1" t="shared" si="116"/>
        <v>655</v>
      </c>
      <c r="J683">
        <f ca="1" t="shared" si="117"/>
        <v>21</v>
      </c>
      <c r="K683">
        <f ca="1" t="shared" si="118"/>
        <v>16611</v>
      </c>
      <c r="L683">
        <f ca="1" t="shared" si="119"/>
        <v>3124</v>
      </c>
      <c r="M683">
        <f ca="1" t="shared" si="120"/>
        <v>0.012930041592</v>
      </c>
    </row>
    <row r="684" spans="1:13">
      <c r="A684" t="str">
        <f ca="1">OFFSET($N$2,(ROW(684:684)-2)/35,0)</f>
        <v>广西壮族自治区</v>
      </c>
      <c r="B684">
        <f ca="1">OFFSET($O$1,0,MOD(ROW(684:684)-2,35))</f>
        <v>2007</v>
      </c>
      <c r="C684">
        <f ca="1" t="shared" si="110"/>
        <v>0.17490816</v>
      </c>
      <c r="D684">
        <f ca="1" t="shared" si="111"/>
        <v>6</v>
      </c>
      <c r="E684">
        <f ca="1" t="shared" si="112"/>
        <v>0</v>
      </c>
      <c r="F684">
        <f ca="1" t="shared" si="113"/>
        <v>0.308864489472</v>
      </c>
      <c r="G684">
        <f ca="1" t="shared" si="114"/>
        <v>0.0428997244032</v>
      </c>
      <c r="H684">
        <f ca="1" t="shared" si="115"/>
        <v>0.392292766656</v>
      </c>
      <c r="I684">
        <f ca="1" t="shared" si="116"/>
        <v>955</v>
      </c>
      <c r="J684">
        <f ca="1" t="shared" si="117"/>
        <v>22</v>
      </c>
      <c r="K684">
        <f ca="1" t="shared" si="118"/>
        <v>15802</v>
      </c>
      <c r="L684">
        <f ca="1" t="shared" si="119"/>
        <v>3272</v>
      </c>
      <c r="M684">
        <f ca="1" t="shared" si="120"/>
        <v>0.0140931000576</v>
      </c>
    </row>
    <row r="685" spans="1:13">
      <c r="A685" t="str">
        <f ca="1">OFFSET($N$2,(ROW(685:685)-2)/35,0)</f>
        <v>广西壮族自治区</v>
      </c>
      <c r="B685">
        <f ca="1">OFFSET($O$1,0,MOD(ROW(685:685)-2,35))</f>
        <v>2008</v>
      </c>
      <c r="C685">
        <f ca="1" t="shared" si="110"/>
        <v>0.1880424</v>
      </c>
      <c r="D685">
        <f ca="1" t="shared" si="111"/>
        <v>6</v>
      </c>
      <c r="E685">
        <f ca="1" t="shared" si="112"/>
        <v>0</v>
      </c>
      <c r="F685">
        <f ca="1" t="shared" si="113"/>
        <v>0.35783215104</v>
      </c>
      <c r="G685">
        <f ca="1" t="shared" si="114"/>
        <v>0.039838662864</v>
      </c>
      <c r="H685">
        <f ca="1" t="shared" si="115"/>
        <v>0.43956791424</v>
      </c>
      <c r="I685">
        <f ca="1" t="shared" si="116"/>
        <v>1107</v>
      </c>
      <c r="J685">
        <f ca="1" t="shared" si="117"/>
        <v>28</v>
      </c>
      <c r="K685">
        <f ca="1" t="shared" si="118"/>
        <v>20619</v>
      </c>
      <c r="L685">
        <f ca="1" t="shared" si="119"/>
        <v>2594</v>
      </c>
      <c r="M685">
        <f ca="1" t="shared" si="120"/>
        <v>0.015249970008</v>
      </c>
    </row>
    <row r="686" spans="1:13">
      <c r="A686" t="str">
        <f ca="1">OFFSET($N$2,(ROW(686:686)-2)/35,0)</f>
        <v>广西壮族自治区</v>
      </c>
      <c r="B686">
        <f ca="1">OFFSET($O$1,0,MOD(ROW(686:686)-2,35))</f>
        <v>2009</v>
      </c>
      <c r="C686">
        <f ca="1" t="shared" si="110"/>
        <v>0.17565996</v>
      </c>
      <c r="D686">
        <f ca="1" t="shared" si="111"/>
        <v>6</v>
      </c>
      <c r="E686">
        <f ca="1" t="shared" si="112"/>
        <v>0</v>
      </c>
      <c r="F686">
        <f ca="1" t="shared" si="113"/>
        <v>0.321451871468</v>
      </c>
      <c r="G686">
        <f ca="1" t="shared" si="114"/>
        <v>0.0432483604518</v>
      </c>
      <c r="H686">
        <f ca="1" t="shared" si="115"/>
        <v>0.376167021342</v>
      </c>
      <c r="I686">
        <f ca="1" t="shared" si="116"/>
        <v>858</v>
      </c>
      <c r="J686">
        <f ca="1" t="shared" si="117"/>
        <v>25</v>
      </c>
      <c r="K686">
        <f ca="1" t="shared" si="118"/>
        <v>10905</v>
      </c>
      <c r="L686">
        <f ca="1" t="shared" si="119"/>
        <v>2530</v>
      </c>
      <c r="M686">
        <f ca="1" t="shared" si="120"/>
        <v>0.0148718740992</v>
      </c>
    </row>
    <row r="687" spans="1:13">
      <c r="A687" t="str">
        <f ca="1">OFFSET($N$2,(ROW(687:687)-2)/35,0)</f>
        <v>广西壮族自治区</v>
      </c>
      <c r="B687">
        <f ca="1">OFFSET($O$1,0,MOD(ROW(687:687)-2,35))</f>
        <v>2010</v>
      </c>
      <c r="C687">
        <f ca="1" t="shared" si="110"/>
        <v>0.1917972</v>
      </c>
      <c r="D687">
        <f ca="1" t="shared" si="111"/>
        <v>7</v>
      </c>
      <c r="E687">
        <f ca="1" t="shared" si="112"/>
        <v>0</v>
      </c>
      <c r="F687">
        <f ca="1" t="shared" si="113"/>
        <v>0.3656613618</v>
      </c>
      <c r="G687">
        <f ca="1" t="shared" si="114"/>
        <v>0.042067838862</v>
      </c>
      <c r="H687">
        <f ca="1" t="shared" si="115"/>
        <v>0.4701428865</v>
      </c>
      <c r="I687">
        <f ca="1" t="shared" si="116"/>
        <v>982</v>
      </c>
      <c r="J687">
        <f ca="1" t="shared" si="117"/>
        <v>37</v>
      </c>
      <c r="K687">
        <f ca="1" t="shared" si="118"/>
        <v>13934</v>
      </c>
      <c r="L687">
        <f ca="1" t="shared" si="119"/>
        <v>2893</v>
      </c>
      <c r="M687">
        <f ca="1" t="shared" si="120"/>
        <v>0.015265139148</v>
      </c>
    </row>
    <row r="688" spans="1:13">
      <c r="A688" t="str">
        <f ca="1">OFFSET($N$2,(ROW(688:688)-2)/35,0)</f>
        <v>广西壮族自治区</v>
      </c>
      <c r="B688">
        <f ca="1">OFFSET($O$1,0,MOD(ROW(688:688)-2,35))</f>
        <v>2011</v>
      </c>
      <c r="C688">
        <f ca="1" t="shared" si="110"/>
        <v>0.19441464</v>
      </c>
      <c r="D688">
        <f ca="1" t="shared" si="111"/>
        <v>7</v>
      </c>
      <c r="E688">
        <f ca="1" t="shared" si="112"/>
        <v>0</v>
      </c>
      <c r="F688">
        <f ca="1" t="shared" si="113"/>
        <v>0.372809513664</v>
      </c>
      <c r="G688">
        <f ca="1" t="shared" si="114"/>
        <v>0.043782176928</v>
      </c>
      <c r="H688">
        <f ca="1" t="shared" si="115"/>
        <v>0.428013550692</v>
      </c>
      <c r="I688">
        <f ca="1" t="shared" si="116"/>
        <v>1143</v>
      </c>
      <c r="J688">
        <f ca="1" t="shared" si="117"/>
        <v>22</v>
      </c>
      <c r="K688">
        <f ca="1" t="shared" si="118"/>
        <v>22014</v>
      </c>
      <c r="L688">
        <f ca="1" t="shared" si="119"/>
        <v>3698</v>
      </c>
      <c r="M688">
        <f ca="1" t="shared" si="120"/>
        <v>0.0140595112944</v>
      </c>
    </row>
    <row r="689" spans="1:13">
      <c r="A689" t="str">
        <f ca="1">OFFSET($N$2,(ROW(689:689)-2)/35,0)</f>
        <v>广西壮族自治区</v>
      </c>
      <c r="B689">
        <f ca="1">OFFSET($O$1,0,MOD(ROW(689:689)-2,35))</f>
        <v>2012</v>
      </c>
      <c r="C689">
        <f ca="1" t="shared" si="110"/>
        <v>0.19262208</v>
      </c>
      <c r="D689">
        <f ca="1" t="shared" si="111"/>
        <v>7</v>
      </c>
      <c r="E689">
        <f ca="1" t="shared" si="112"/>
        <v>0</v>
      </c>
      <c r="F689">
        <f ca="1" t="shared" si="113"/>
        <v>0.347817689856</v>
      </c>
      <c r="G689">
        <f ca="1" t="shared" si="114"/>
        <v>0.0416044430592</v>
      </c>
      <c r="H689">
        <f ca="1" t="shared" si="115"/>
        <v>0.386033910528</v>
      </c>
      <c r="I689">
        <f ca="1" t="shared" si="116"/>
        <v>1106</v>
      </c>
      <c r="J689">
        <f ca="1" t="shared" si="117"/>
        <v>27</v>
      </c>
      <c r="K689">
        <f ca="1" t="shared" si="118"/>
        <v>13640</v>
      </c>
      <c r="L689">
        <f ca="1" t="shared" si="119"/>
        <v>2423</v>
      </c>
      <c r="M689">
        <f ca="1" t="shared" si="120"/>
        <v>0.0154293037824</v>
      </c>
    </row>
    <row r="690" spans="1:13">
      <c r="A690" t="str">
        <f ca="1">OFFSET($N$2,(ROW(690:690)-2)/35,0)</f>
        <v>广西壮族自治区</v>
      </c>
      <c r="B690">
        <f ca="1">OFFSET($O$1,0,MOD(ROW(690:690)-2,35))</f>
        <v>2013</v>
      </c>
      <c r="C690">
        <f ca="1" t="shared" si="110"/>
        <v>0.20598732</v>
      </c>
      <c r="D690">
        <f ca="1" t="shared" si="111"/>
        <v>8</v>
      </c>
      <c r="E690">
        <f ca="1" t="shared" si="112"/>
        <v>0</v>
      </c>
      <c r="F690">
        <f ca="1" t="shared" si="113"/>
        <v>0.34798124592</v>
      </c>
      <c r="G690">
        <f ca="1" t="shared" si="114"/>
        <v>0.0441502922322</v>
      </c>
      <c r="H690">
        <f ca="1" t="shared" si="115"/>
        <v>0.504957316248</v>
      </c>
      <c r="I690">
        <f ca="1" t="shared" si="116"/>
        <v>1099</v>
      </c>
      <c r="J690">
        <f ca="1" t="shared" si="117"/>
        <v>36</v>
      </c>
      <c r="K690">
        <f ca="1" t="shared" si="118"/>
        <v>13689</v>
      </c>
      <c r="L690">
        <f ca="1" t="shared" si="119"/>
        <v>3500</v>
      </c>
      <c r="M690">
        <f ca="1" t="shared" si="120"/>
        <v>0.017058692772</v>
      </c>
    </row>
    <row r="691" spans="1:13">
      <c r="A691" t="str">
        <f ca="1">OFFSET($N$2,(ROW(691:691)-2)/35,0)</f>
        <v>广西壮族自治区</v>
      </c>
      <c r="B691">
        <f ca="1">OFFSET($O$1,0,MOD(ROW(691:691)-2,35))</f>
        <v>2014</v>
      </c>
      <c r="C691">
        <f ca="1" t="shared" si="110"/>
        <v>0.22593816</v>
      </c>
      <c r="D691">
        <f ca="1" t="shared" si="111"/>
        <v>8</v>
      </c>
      <c r="E691">
        <f ca="1" t="shared" si="112"/>
        <v>0</v>
      </c>
      <c r="F691">
        <f ca="1" t="shared" si="113"/>
        <v>0.428273313552</v>
      </c>
      <c r="G691">
        <f ca="1" t="shared" si="114"/>
        <v>0.0542579194332</v>
      </c>
      <c r="H691">
        <f ca="1" t="shared" si="115"/>
        <v>0.508824033228</v>
      </c>
      <c r="I691">
        <f ca="1" t="shared" si="116"/>
        <v>1044</v>
      </c>
      <c r="J691">
        <f ca="1" t="shared" si="117"/>
        <v>42</v>
      </c>
      <c r="K691">
        <f ca="1" t="shared" si="118"/>
        <v>26856</v>
      </c>
      <c r="L691">
        <f ca="1" t="shared" si="119"/>
        <v>3456</v>
      </c>
      <c r="M691">
        <f ca="1" t="shared" si="120"/>
        <v>0.0185417764848</v>
      </c>
    </row>
    <row r="692" spans="1:13">
      <c r="A692" t="str">
        <f ca="1">OFFSET($N$2,(ROW(692:692)-2)/35,0)</f>
        <v>广西壮族自治区</v>
      </c>
      <c r="B692">
        <f ca="1">OFFSET($O$1,0,MOD(ROW(692:692)-2,35))</f>
        <v>2015</v>
      </c>
      <c r="C692">
        <f ca="1" t="shared" si="110"/>
        <v>0.2292906</v>
      </c>
      <c r="D692">
        <f ca="1" t="shared" si="111"/>
        <v>8</v>
      </c>
      <c r="E692">
        <f ca="1" t="shared" si="112"/>
        <v>0</v>
      </c>
      <c r="F692">
        <f ca="1" t="shared" si="113"/>
        <v>0.42233799916</v>
      </c>
      <c r="G692">
        <f ca="1" t="shared" si="114"/>
        <v>0.051484911324</v>
      </c>
      <c r="H692">
        <f ca="1" t="shared" si="115"/>
        <v>0.53726226939</v>
      </c>
      <c r="I692">
        <f ca="1" t="shared" si="116"/>
        <v>962</v>
      </c>
      <c r="J692">
        <f ca="1" t="shared" si="117"/>
        <v>45</v>
      </c>
      <c r="K692">
        <f ca="1" t="shared" si="118"/>
        <v>27013</v>
      </c>
      <c r="L692">
        <f ca="1" t="shared" si="119"/>
        <v>3765</v>
      </c>
      <c r="M692">
        <f ca="1" t="shared" si="120"/>
        <v>0.018480494802</v>
      </c>
    </row>
    <row r="693" spans="1:13">
      <c r="A693" t="str">
        <f ca="1">OFFSET($N$2,(ROW(693:693)-2)/35,0)</f>
        <v>广西壮族自治区</v>
      </c>
      <c r="B693">
        <f ca="1">OFFSET($O$1,0,MOD(ROW(693:693)-2,35))</f>
        <v>2016</v>
      </c>
      <c r="C693">
        <f ca="1" t="shared" si="110"/>
        <v>0.23680944</v>
      </c>
      <c r="D693">
        <f ca="1" t="shared" si="111"/>
        <v>8</v>
      </c>
      <c r="E693">
        <f ca="1" t="shared" si="112"/>
        <v>0</v>
      </c>
      <c r="F693">
        <f ca="1" t="shared" si="113"/>
        <v>0.448469717472</v>
      </c>
      <c r="G693">
        <f ca="1" t="shared" si="114"/>
        <v>0.0581083003872</v>
      </c>
      <c r="H693">
        <f ca="1" t="shared" si="115"/>
        <v>0.478319547384</v>
      </c>
      <c r="I693">
        <f ca="1" t="shared" si="116"/>
        <v>1184</v>
      </c>
      <c r="J693">
        <f ca="1" t="shared" si="117"/>
        <v>49</v>
      </c>
      <c r="K693">
        <f ca="1" t="shared" si="118"/>
        <v>17080</v>
      </c>
      <c r="L693">
        <f ca="1" t="shared" si="119"/>
        <v>3666</v>
      </c>
      <c r="M693">
        <f ca="1" t="shared" si="120"/>
        <v>0.0188107887168</v>
      </c>
    </row>
    <row r="694" spans="1:13">
      <c r="A694" t="str">
        <f ca="1">OFFSET($N$2,(ROW(694:694)-2)/35,0)</f>
        <v>广西壮族自治区</v>
      </c>
      <c r="B694">
        <f ca="1">OFFSET($O$1,0,MOD(ROW(694:694)-2,35))</f>
        <v>2017</v>
      </c>
      <c r="C694">
        <f ca="1" t="shared" si="110"/>
        <v>0.22738128</v>
      </c>
      <c r="D694">
        <f ca="1" t="shared" si="111"/>
        <v>9</v>
      </c>
      <c r="E694">
        <f ca="1" t="shared" si="112"/>
        <v>0</v>
      </c>
      <c r="F694">
        <f ca="1" t="shared" si="113"/>
        <v>0.421921123792</v>
      </c>
      <c r="G694">
        <f ca="1" t="shared" si="114"/>
        <v>0.0497521609704</v>
      </c>
      <c r="H694">
        <f ca="1" t="shared" si="115"/>
        <v>0.528115760928</v>
      </c>
      <c r="I694">
        <f ca="1" t="shared" si="116"/>
        <v>1205</v>
      </c>
      <c r="J694">
        <f ca="1" t="shared" si="117"/>
        <v>46</v>
      </c>
      <c r="K694">
        <f ca="1" t="shared" si="118"/>
        <v>19612</v>
      </c>
      <c r="L694">
        <f ca="1" t="shared" si="119"/>
        <v>3906</v>
      </c>
      <c r="M694">
        <f ca="1" t="shared" si="120"/>
        <v>0.01776822288</v>
      </c>
    </row>
    <row r="695" spans="1:13">
      <c r="A695" t="str">
        <f ca="1">OFFSET($N$2,(ROW(695:695)-2)/35,0)</f>
        <v>广西壮族自治区</v>
      </c>
      <c r="B695">
        <f ca="1">OFFSET($O$1,0,MOD(ROW(695:695)-2,35))</f>
        <v>2018</v>
      </c>
      <c r="C695">
        <f ca="1" t="shared" si="110"/>
        <v>0.24236856</v>
      </c>
      <c r="D695">
        <f ca="1" t="shared" si="111"/>
        <v>9</v>
      </c>
      <c r="E695">
        <f ca="1" t="shared" si="112"/>
        <v>0</v>
      </c>
      <c r="F695">
        <f ca="1" t="shared" si="113"/>
        <v>0.43210274772</v>
      </c>
      <c r="G695">
        <f ca="1" t="shared" si="114"/>
        <v>0.053599807044</v>
      </c>
      <c r="H695">
        <f ca="1" t="shared" si="115"/>
        <v>0.536979663108</v>
      </c>
      <c r="I695">
        <f ca="1" t="shared" si="116"/>
        <v>1406</v>
      </c>
      <c r="J695">
        <f ca="1" t="shared" si="117"/>
        <v>221</v>
      </c>
      <c r="K695">
        <f ca="1" t="shared" si="118"/>
        <v>16066</v>
      </c>
      <c r="L695">
        <f ca="1" t="shared" si="119"/>
        <v>2674</v>
      </c>
      <c r="M695">
        <f ca="1" t="shared" si="120"/>
        <v>0.017789852304</v>
      </c>
    </row>
    <row r="696" spans="1:13">
      <c r="A696" t="str">
        <f ca="1">OFFSET($N$2,(ROW(696:696)-2)/35,0)</f>
        <v>广西壮族自治区</v>
      </c>
      <c r="B696">
        <f ca="1">OFFSET($O$1,0,MOD(ROW(696:696)-2,35))</f>
        <v>2019</v>
      </c>
      <c r="C696">
        <f ca="1" t="shared" si="110"/>
        <v>0.25362792</v>
      </c>
      <c r="D696">
        <f ca="1" t="shared" si="111"/>
        <v>9</v>
      </c>
      <c r="E696">
        <f ca="1" t="shared" si="112"/>
        <v>0</v>
      </c>
      <c r="F696">
        <f ca="1" t="shared" si="113"/>
        <v>0.471993104856</v>
      </c>
      <c r="G696">
        <f ca="1" t="shared" si="114"/>
        <v>0.051156751464</v>
      </c>
      <c r="H696">
        <f ca="1" t="shared" si="115"/>
        <v>0.62937768348</v>
      </c>
      <c r="I696">
        <f ca="1" t="shared" si="116"/>
        <v>1105</v>
      </c>
      <c r="J696">
        <f ca="1" t="shared" si="117"/>
        <v>236</v>
      </c>
      <c r="K696">
        <f ca="1" t="shared" si="118"/>
        <v>30034</v>
      </c>
      <c r="L696">
        <f ca="1" t="shared" si="119"/>
        <v>3003</v>
      </c>
      <c r="M696">
        <f ca="1" t="shared" si="120"/>
        <v>0.0200250112608</v>
      </c>
    </row>
    <row r="697" spans="1:13">
      <c r="A697" t="str">
        <f ca="1">OFFSET($N$2,(ROW(697:697)-2)/35,0)</f>
        <v>广西壮族自治区</v>
      </c>
      <c r="B697">
        <f ca="1">OFFSET($O$1,0,MOD(ROW(697:697)-2,35))</f>
        <v>2020</v>
      </c>
      <c r="C697">
        <f ca="1" t="shared" si="110"/>
        <v>0.2647344</v>
      </c>
      <c r="D697">
        <f ca="1" t="shared" si="111"/>
        <v>9</v>
      </c>
      <c r="E697">
        <f ca="1" t="shared" si="112"/>
        <v>0</v>
      </c>
      <c r="F697">
        <f ca="1" t="shared" si="113"/>
        <v>0.44821298816</v>
      </c>
      <c r="G697">
        <f ca="1" t="shared" si="114"/>
        <v>0.062955163992</v>
      </c>
      <c r="H697">
        <f ca="1" t="shared" si="115"/>
        <v>0.54935035344</v>
      </c>
      <c r="I697">
        <f ca="1" t="shared" si="116"/>
        <v>1100</v>
      </c>
      <c r="J697">
        <f ca="1" t="shared" si="117"/>
        <v>180</v>
      </c>
      <c r="K697">
        <f ca="1" t="shared" si="118"/>
        <v>21254</v>
      </c>
      <c r="L697">
        <f ca="1" t="shared" si="119"/>
        <v>2821</v>
      </c>
      <c r="M697">
        <f ca="1" t="shared" si="120"/>
        <v>0.021514964688</v>
      </c>
    </row>
    <row r="698" spans="1:13">
      <c r="A698" t="str">
        <f ca="1">OFFSET($N$2,(ROW(698:698)-2)/35,0)</f>
        <v>广西壮族自治区</v>
      </c>
      <c r="B698">
        <f ca="1">OFFSET($O$1,0,MOD(ROW(698:698)-2,35))</f>
        <v>2021</v>
      </c>
      <c r="C698">
        <f ca="1" t="shared" si="110"/>
        <v>0.27273036</v>
      </c>
      <c r="D698">
        <f ca="1" t="shared" si="111"/>
        <v>9</v>
      </c>
      <c r="E698">
        <f ca="1" t="shared" si="112"/>
        <v>0</v>
      </c>
      <c r="F698">
        <f ca="1" t="shared" si="113"/>
        <v>0.542851599556</v>
      </c>
      <c r="G698">
        <f ca="1" t="shared" si="114"/>
        <v>0.0580602026886</v>
      </c>
      <c r="H698">
        <f ca="1" t="shared" si="115"/>
        <v>0.649330077606</v>
      </c>
      <c r="I698">
        <f ca="1" t="shared" si="116"/>
        <v>1220</v>
      </c>
      <c r="J698">
        <f ca="1" t="shared" si="117"/>
        <v>158</v>
      </c>
      <c r="K698">
        <f ca="1" t="shared" si="118"/>
        <v>27522</v>
      </c>
      <c r="L698">
        <f ca="1" t="shared" si="119"/>
        <v>5435</v>
      </c>
      <c r="M698">
        <f ca="1" t="shared" si="120"/>
        <v>0.0225454500168</v>
      </c>
    </row>
    <row r="699" spans="1:13">
      <c r="A699" t="str">
        <f ca="1">OFFSET($N$2,(ROW(699:699)-2)/35,0)</f>
        <v>广西壮族自治区</v>
      </c>
      <c r="B699">
        <f ca="1">OFFSET($O$1,0,MOD(ROW(699:699)-2,35))</f>
        <v>2022</v>
      </c>
      <c r="C699">
        <f ca="1" t="shared" si="110"/>
        <v>0.27003312</v>
      </c>
      <c r="D699">
        <f ca="1" t="shared" si="111"/>
        <v>9</v>
      </c>
      <c r="E699">
        <f ca="1" t="shared" si="112"/>
        <v>0</v>
      </c>
      <c r="F699">
        <f ca="1" t="shared" si="113"/>
        <v>0.482828219664</v>
      </c>
      <c r="G699">
        <f ca="1" t="shared" si="114"/>
        <v>0.054620949348</v>
      </c>
      <c r="H699">
        <f ca="1" t="shared" si="115"/>
        <v>0.603848062944</v>
      </c>
      <c r="I699">
        <f ca="1" t="shared" si="116"/>
        <v>1314</v>
      </c>
      <c r="J699">
        <f ca="1" t="shared" si="117"/>
        <v>171</v>
      </c>
      <c r="K699">
        <f ca="1" t="shared" si="118"/>
        <v>20246</v>
      </c>
      <c r="L699">
        <f ca="1" t="shared" si="119"/>
        <v>3031</v>
      </c>
      <c r="M699">
        <f ca="1" t="shared" si="120"/>
        <v>0.0219965121936</v>
      </c>
    </row>
    <row r="700" spans="1:13">
      <c r="A700" t="str">
        <f ca="1">OFFSET($N$2,(ROW(700:700)-2)/35,0)</f>
        <v>广西壮族自治区</v>
      </c>
      <c r="B700">
        <f ca="1">OFFSET($O$1,0,MOD(ROW(700:700)-2,35))</f>
        <v>2023</v>
      </c>
      <c r="C700">
        <f ca="1" t="shared" si="110"/>
        <v>0.25522392</v>
      </c>
      <c r="D700">
        <f ca="1" t="shared" si="111"/>
        <v>9</v>
      </c>
      <c r="E700">
        <f ca="1" t="shared" si="112"/>
        <v>0</v>
      </c>
      <c r="F700">
        <f ca="1" t="shared" si="113"/>
        <v>0.4345187238</v>
      </c>
      <c r="G700">
        <f ca="1" t="shared" si="114"/>
        <v>0.0525812319984</v>
      </c>
      <c r="H700">
        <f ca="1" t="shared" si="115"/>
        <v>0.632330022996</v>
      </c>
      <c r="I700">
        <f ca="1" t="shared" si="116"/>
        <v>1319</v>
      </c>
      <c r="J700">
        <f ca="1" t="shared" si="117"/>
        <v>212</v>
      </c>
      <c r="K700">
        <f ca="1" t="shared" si="118"/>
        <v>23053</v>
      </c>
      <c r="L700">
        <f ca="1" t="shared" si="119"/>
        <v>4751</v>
      </c>
      <c r="M700">
        <f ca="1" t="shared" si="120"/>
        <v>0.019728809016</v>
      </c>
    </row>
    <row r="701" spans="1:13">
      <c r="A701" t="str">
        <f ca="1">OFFSET($N$2,(ROW(701:701)-2)/35,0)</f>
        <v>广西壮族自治区</v>
      </c>
      <c r="B701">
        <f ca="1">OFFSET($O$1,0,MOD(ROW(701:701)-2,35))</f>
        <v>2024</v>
      </c>
      <c r="C701">
        <f ca="1" t="shared" si="110"/>
        <v>0.26212032</v>
      </c>
      <c r="D701">
        <f ca="1" t="shared" si="111"/>
        <v>9</v>
      </c>
      <c r="E701">
        <f ca="1" t="shared" si="112"/>
        <v>0</v>
      </c>
      <c r="F701">
        <f ca="1" t="shared" si="113"/>
        <v>0.520553480832</v>
      </c>
      <c r="G701">
        <f ca="1" t="shared" si="114"/>
        <v>0.0626546200896</v>
      </c>
      <c r="H701">
        <f ca="1" t="shared" si="115"/>
        <v>0.570426240384</v>
      </c>
      <c r="I701">
        <f ca="1" t="shared" si="116"/>
        <v>1295</v>
      </c>
      <c r="J701">
        <f ca="1" t="shared" si="117"/>
        <v>176</v>
      </c>
      <c r="K701">
        <f ca="1" t="shared" si="118"/>
        <v>20268</v>
      </c>
      <c r="L701">
        <f ca="1" t="shared" si="119"/>
        <v>4280</v>
      </c>
      <c r="M701">
        <f ca="1" t="shared" si="120"/>
        <v>0.0194392173888</v>
      </c>
    </row>
    <row r="702" spans="1:13">
      <c r="A702" t="str">
        <f ca="1">OFFSET($N$2,(ROW(702:702)-2)/35,0)</f>
        <v>海南省</v>
      </c>
      <c r="B702">
        <f ca="1">OFFSET($O$1,0,MOD(ROW(702:702)-2,35))</f>
        <v>1990</v>
      </c>
      <c r="C702">
        <f ca="1" t="shared" si="110"/>
        <v>0.090552</v>
      </c>
      <c r="D702">
        <f ca="1" t="shared" si="111"/>
        <v>3</v>
      </c>
      <c r="E702">
        <f ca="1" t="shared" si="112"/>
        <v>0</v>
      </c>
      <c r="F702">
        <f ca="1" t="shared" si="113"/>
        <v>0.1724321368</v>
      </c>
      <c r="G702">
        <f ca="1" t="shared" si="114"/>
        <v>0.02102798544</v>
      </c>
      <c r="H702">
        <f ca="1" t="shared" si="115"/>
        <v>0.2178726396</v>
      </c>
      <c r="I702">
        <f ca="1" t="shared" si="116"/>
        <v>541</v>
      </c>
      <c r="J702">
        <f ca="1" t="shared" si="117"/>
        <v>11</v>
      </c>
      <c r="K702">
        <f ca="1" t="shared" si="118"/>
        <v>9785</v>
      </c>
      <c r="L702">
        <f ca="1" t="shared" si="119"/>
        <v>1761</v>
      </c>
      <c r="M702">
        <f ca="1" t="shared" si="120"/>
        <v>0.00660783816</v>
      </c>
    </row>
    <row r="703" spans="1:13">
      <c r="A703" t="str">
        <f ca="1">OFFSET($N$2,(ROW(703:703)-2)/35,0)</f>
        <v>海南省</v>
      </c>
      <c r="B703">
        <f ca="1">OFFSET($O$1,0,MOD(ROW(703:703)-2,35))</f>
        <v>1991</v>
      </c>
      <c r="C703">
        <f ca="1" t="shared" si="110"/>
        <v>0.0932316</v>
      </c>
      <c r="D703">
        <f ca="1" t="shared" si="111"/>
        <v>3</v>
      </c>
      <c r="E703">
        <f ca="1" t="shared" si="112"/>
        <v>1</v>
      </c>
      <c r="F703">
        <f ca="1" t="shared" si="113"/>
        <v>0.1820502376</v>
      </c>
      <c r="G703">
        <f ca="1" t="shared" si="114"/>
        <v>0.019244400714</v>
      </c>
      <c r="H703">
        <f ca="1" t="shared" si="115"/>
        <v>0.22707022338</v>
      </c>
      <c r="I703">
        <f ca="1" t="shared" si="116"/>
        <v>443</v>
      </c>
      <c r="J703">
        <f ca="1" t="shared" si="117"/>
        <v>13</v>
      </c>
      <c r="K703">
        <f ca="1" t="shared" si="118"/>
        <v>6015</v>
      </c>
      <c r="L703">
        <f ca="1" t="shared" si="119"/>
        <v>1277</v>
      </c>
      <c r="M703">
        <f ca="1" t="shared" si="120"/>
        <v>0.006880092516</v>
      </c>
    </row>
    <row r="704" spans="1:13">
      <c r="A704" t="str">
        <f ca="1">OFFSET($N$2,(ROW(704:704)-2)/35,0)</f>
        <v>海南省</v>
      </c>
      <c r="B704">
        <f ca="1">OFFSET($O$1,0,MOD(ROW(704:704)-2,35))</f>
        <v>1992</v>
      </c>
      <c r="C704">
        <f ca="1" t="shared" si="110"/>
        <v>0.1073016</v>
      </c>
      <c r="D704">
        <f ca="1" t="shared" si="111"/>
        <v>3</v>
      </c>
      <c r="E704">
        <f ca="1" t="shared" si="112"/>
        <v>1</v>
      </c>
      <c r="F704">
        <f ca="1" t="shared" si="113"/>
        <v>0.18642937656</v>
      </c>
      <c r="G704">
        <f ca="1" t="shared" si="114"/>
        <v>0.022098228012</v>
      </c>
      <c r="H704">
        <f ca="1" t="shared" si="115"/>
        <v>0.24008733</v>
      </c>
      <c r="I704">
        <f ca="1" t="shared" si="116"/>
        <v>460</v>
      </c>
      <c r="J704">
        <f ca="1" t="shared" si="117"/>
        <v>18</v>
      </c>
      <c r="K704">
        <f ca="1" t="shared" si="118"/>
        <v>12837</v>
      </c>
      <c r="L704">
        <f ca="1" t="shared" si="119"/>
        <v>1287</v>
      </c>
      <c r="M704">
        <f ca="1" t="shared" si="120"/>
        <v>0.00802922544</v>
      </c>
    </row>
    <row r="705" spans="1:13">
      <c r="A705" t="str">
        <f ca="1">OFFSET($N$2,(ROW(705:705)-2)/35,0)</f>
        <v>海南省</v>
      </c>
      <c r="B705">
        <f ca="1">OFFSET($O$1,0,MOD(ROW(705:705)-2,35))</f>
        <v>1993</v>
      </c>
      <c r="C705">
        <f ca="1" t="shared" si="110"/>
        <v>0.11643996</v>
      </c>
      <c r="D705">
        <f ca="1" t="shared" si="111"/>
        <v>4</v>
      </c>
      <c r="E705">
        <f ca="1" t="shared" si="112"/>
        <v>1</v>
      </c>
      <c r="F705">
        <f ca="1" t="shared" si="113"/>
        <v>0.213644038608</v>
      </c>
      <c r="G705">
        <f ca="1" t="shared" si="114"/>
        <v>0.0277342518726</v>
      </c>
      <c r="H705">
        <f ca="1" t="shared" si="115"/>
        <v>0.249012676458</v>
      </c>
      <c r="I705">
        <f ca="1" t="shared" si="116"/>
        <v>560</v>
      </c>
      <c r="J705">
        <f ca="1" t="shared" si="117"/>
        <v>18</v>
      </c>
      <c r="K705">
        <f ca="1" t="shared" si="118"/>
        <v>13225</v>
      </c>
      <c r="L705">
        <f ca="1" t="shared" si="119"/>
        <v>2285</v>
      </c>
      <c r="M705">
        <f ca="1" t="shared" si="120"/>
        <v>0.009596316132</v>
      </c>
    </row>
    <row r="706" spans="1:13">
      <c r="A706" t="str">
        <f ca="1">OFFSET($N$2,(ROW(706:706)-2)/35,0)</f>
        <v>海南省</v>
      </c>
      <c r="B706">
        <f ca="1">OFFSET($O$1,0,MOD(ROW(706:706)-2,35))</f>
        <v>1994</v>
      </c>
      <c r="C706">
        <f ca="1" t="shared" si="110"/>
        <v>0.1192464</v>
      </c>
      <c r="D706">
        <f ca="1" t="shared" si="111"/>
        <v>4</v>
      </c>
      <c r="E706">
        <f ca="1" t="shared" si="112"/>
        <v>1</v>
      </c>
      <c r="F706">
        <f ca="1" t="shared" si="113"/>
        <v>0.204805692</v>
      </c>
      <c r="G706">
        <f ca="1" t="shared" si="114"/>
        <v>0.02643394572</v>
      </c>
      <c r="H706">
        <f ca="1" t="shared" si="115"/>
        <v>0.25865736624</v>
      </c>
      <c r="I706">
        <f ca="1" t="shared" si="116"/>
        <v>528</v>
      </c>
      <c r="J706">
        <f ca="1" t="shared" si="117"/>
        <v>13</v>
      </c>
      <c r="K706">
        <f ca="1" t="shared" si="118"/>
        <v>12311</v>
      </c>
      <c r="L706">
        <f ca="1" t="shared" si="119"/>
        <v>1782</v>
      </c>
      <c r="M706">
        <f ca="1" t="shared" si="120"/>
        <v>0.00944772192</v>
      </c>
    </row>
    <row r="707" spans="1:13">
      <c r="A707" t="str">
        <f ca="1">OFFSET($N$2,(ROW(707:707)-2)/35,0)</f>
        <v>海南省</v>
      </c>
      <c r="B707">
        <f ca="1">OFFSET($O$1,0,MOD(ROW(707:707)-2,35))</f>
        <v>1995</v>
      </c>
      <c r="C707">
        <f ca="1" t="shared" ref="C707:C770" si="121">IF(OR(A707="北京市",A707="上海市",A707="广东省"),(B707-1980)*RANDBETWEEN(15000,16000)/500000,IF(OR(A707="西藏自治区",A707="新疆维吾尔自治区",A707="青海省",A707="广西壮族自治区",A707="内蒙古自治区",A707="宁夏回族自治区",A707="贵州省",A707="甘肃省",A707="陕西省",A707="云南省"),(B707-1980)*RANDBETWEEN(7000,8000)/500000,IF(OR(A707="浙江省",A707="江苏省",A707="山东省",A707="辽宁省"),(B707-1980)*RANDBETWEEN(13000,14000)/500000,(B707-1980)*RANDBETWEEN(10000,11000)/500000)))*0.42</f>
        <v>0.1360044</v>
      </c>
      <c r="D707">
        <f ca="1" t="shared" ref="D707:D770" si="122">IF($B707=1990,ROUND($C707*RANDBETWEEN(10000,20000)/500,0),ROUND(D706+RANDBETWEEN(0,5)/10,0))</f>
        <v>4</v>
      </c>
      <c r="E707">
        <f ca="1" t="shared" ref="E707:E770" si="123">IF($B707=1990,ROUND($C707*RANDBETWEEN(10000,20000)/5000,0),ROUND(E706+RANDBETWEEN(0,20)/40,0))</f>
        <v>1</v>
      </c>
      <c r="F707">
        <f ca="1" t="shared" ref="F707:F770" si="124">$C707*RANDBETWEEN(50000,60000)/30000</f>
        <v>0.22985196948</v>
      </c>
      <c r="G707">
        <f ca="1" t="shared" ref="G707:G770" si="125">$C707*RANDBETWEEN(40000,50000)/200000</f>
        <v>0.0320630373</v>
      </c>
      <c r="H707">
        <f ca="1" t="shared" ref="H707:H770" si="126">$C707*RANDBETWEEN(40000,50000)/20000</f>
        <v>0.30253498758</v>
      </c>
      <c r="I707">
        <f ca="1" t="shared" ref="I707:I770" si="127">ROUND($C707*RANDBETWEEN(20000,30000)/5,0)</f>
        <v>599</v>
      </c>
      <c r="J707">
        <f ca="1" t="shared" ref="J707:J770" si="128">IF(B707&lt;2015,ROUND($C707*RANDBETWEEN(10000,20000)/100,0),IF(B707&lt;2018,ROUND($C707*RANDBETWEEN(10000,20000)/70,0),ROUND($C707*RANDBETWEEN(10000,20000)/20,0)))</f>
        <v>21</v>
      </c>
      <c r="K707">
        <f ca="1" t="shared" ref="K707:K770" si="129">ROUND($C707*RANDBETWEEN(10000,20000)*6,0)</f>
        <v>14077</v>
      </c>
      <c r="L707">
        <f ca="1" t="shared" ref="L707:L770" si="130">ROUND($C707*RANDBETWEEN(10000,20000)*1,0)</f>
        <v>2692</v>
      </c>
      <c r="M707">
        <f ca="1" t="shared" ref="M707:M770" si="131">$C707*RANDBETWEEN(50000,60000)/700000</f>
        <v>0.011137983192</v>
      </c>
    </row>
    <row r="708" spans="1:13">
      <c r="A708" t="str">
        <f ca="1">OFFSET($N$2,(ROW(708:708)-2)/35,0)</f>
        <v>海南省</v>
      </c>
      <c r="B708">
        <f ca="1">OFFSET($O$1,0,MOD(ROW(708:708)-2,35))</f>
        <v>1996</v>
      </c>
      <c r="C708">
        <f ca="1" t="shared" si="121"/>
        <v>0.14196672</v>
      </c>
      <c r="D708">
        <f ca="1" t="shared" si="122"/>
        <v>4</v>
      </c>
      <c r="E708">
        <f ca="1" t="shared" si="123"/>
        <v>1</v>
      </c>
      <c r="F708">
        <f ca="1" t="shared" si="124"/>
        <v>0.241660483008</v>
      </c>
      <c r="G708">
        <f ca="1" t="shared" si="125"/>
        <v>0.0351786433824</v>
      </c>
      <c r="H708">
        <f ca="1" t="shared" si="126"/>
        <v>0.338171825376</v>
      </c>
      <c r="I708">
        <f ca="1" t="shared" si="127"/>
        <v>816</v>
      </c>
      <c r="J708">
        <f ca="1" t="shared" si="128"/>
        <v>25</v>
      </c>
      <c r="K708">
        <f ca="1" t="shared" si="129"/>
        <v>12474</v>
      </c>
      <c r="L708">
        <f ca="1" t="shared" si="130"/>
        <v>1958</v>
      </c>
      <c r="M708">
        <f ca="1" t="shared" si="131"/>
        <v>0.0104945855616</v>
      </c>
    </row>
    <row r="709" spans="1:13">
      <c r="A709" t="str">
        <f ca="1">OFFSET($N$2,(ROW(709:709)-2)/35,0)</f>
        <v>海南省</v>
      </c>
      <c r="B709">
        <f ca="1">OFFSET($O$1,0,MOD(ROW(709:709)-2,35))</f>
        <v>1997</v>
      </c>
      <c r="C709">
        <f ca="1" t="shared" si="121"/>
        <v>0.1502256</v>
      </c>
      <c r="D709">
        <f ca="1" t="shared" si="122"/>
        <v>4</v>
      </c>
      <c r="E709">
        <f ca="1" t="shared" si="123"/>
        <v>1</v>
      </c>
      <c r="F709">
        <f ca="1" t="shared" si="124"/>
        <v>0.28336554176</v>
      </c>
      <c r="G709">
        <f ca="1" t="shared" si="125"/>
        <v>0.031925944512</v>
      </c>
      <c r="H709">
        <f ca="1" t="shared" si="126"/>
        <v>0.37219894656</v>
      </c>
      <c r="I709">
        <f ca="1" t="shared" si="127"/>
        <v>892</v>
      </c>
      <c r="J709">
        <f ca="1" t="shared" si="128"/>
        <v>29</v>
      </c>
      <c r="K709">
        <f ca="1" t="shared" si="129"/>
        <v>16321</v>
      </c>
      <c r="L709">
        <f ca="1" t="shared" si="130"/>
        <v>2063</v>
      </c>
      <c r="M709">
        <f ca="1" t="shared" si="131"/>
        <v>0.011115192144</v>
      </c>
    </row>
    <row r="710" spans="1:13">
      <c r="A710" t="str">
        <f ca="1">OFFSET($N$2,(ROW(710:710)-2)/35,0)</f>
        <v>海南省</v>
      </c>
      <c r="B710">
        <f ca="1">OFFSET($O$1,0,MOD(ROW(710:710)-2,35))</f>
        <v>1998</v>
      </c>
      <c r="C710">
        <f ca="1" t="shared" si="121"/>
        <v>0.16340184</v>
      </c>
      <c r="D710">
        <f ca="1" t="shared" si="122"/>
        <v>4</v>
      </c>
      <c r="E710">
        <f ca="1" t="shared" si="123"/>
        <v>1</v>
      </c>
      <c r="F710">
        <f ca="1" t="shared" si="124"/>
        <v>0.304521115752</v>
      </c>
      <c r="G710">
        <f ca="1" t="shared" si="125"/>
        <v>0.0338053896684</v>
      </c>
      <c r="H710">
        <f ca="1" t="shared" si="126"/>
        <v>0.345055665528</v>
      </c>
      <c r="I710">
        <f ca="1" t="shared" si="127"/>
        <v>772</v>
      </c>
      <c r="J710">
        <f ca="1" t="shared" si="128"/>
        <v>24</v>
      </c>
      <c r="K710">
        <f ca="1" t="shared" si="129"/>
        <v>12650</v>
      </c>
      <c r="L710">
        <f ca="1" t="shared" si="130"/>
        <v>2131</v>
      </c>
      <c r="M710">
        <f ca="1" t="shared" si="131"/>
        <v>0.0137733745248</v>
      </c>
    </row>
    <row r="711" spans="1:13">
      <c r="A711" t="str">
        <f ca="1">OFFSET($N$2,(ROW(711:711)-2)/35,0)</f>
        <v>海南省</v>
      </c>
      <c r="B711">
        <f ca="1">OFFSET($O$1,0,MOD(ROW(711:711)-2,35))</f>
        <v>1999</v>
      </c>
      <c r="C711">
        <f ca="1" t="shared" si="121"/>
        <v>0.16081296</v>
      </c>
      <c r="D711">
        <f ca="1" t="shared" si="122"/>
        <v>4</v>
      </c>
      <c r="E711">
        <f ca="1" t="shared" si="123"/>
        <v>1</v>
      </c>
      <c r="F711">
        <f ca="1" t="shared" si="124"/>
        <v>0.304536862784</v>
      </c>
      <c r="G711">
        <f ca="1" t="shared" si="125"/>
        <v>0.0400094603832</v>
      </c>
      <c r="H711">
        <f ca="1" t="shared" si="126"/>
        <v>0.373841888112</v>
      </c>
      <c r="I711">
        <f ca="1" t="shared" si="127"/>
        <v>894</v>
      </c>
      <c r="J711">
        <f ca="1" t="shared" si="128"/>
        <v>17</v>
      </c>
      <c r="K711">
        <f ca="1" t="shared" si="129"/>
        <v>18188</v>
      </c>
      <c r="L711">
        <f ca="1" t="shared" si="130"/>
        <v>2298</v>
      </c>
      <c r="M711">
        <f ca="1" t="shared" si="131"/>
        <v>0.0134719908576</v>
      </c>
    </row>
    <row r="712" spans="1:13">
      <c r="A712" t="str">
        <f ca="1">OFFSET($N$2,(ROW(712:712)-2)/35,0)</f>
        <v>海南省</v>
      </c>
      <c r="B712">
        <f ca="1">OFFSET($O$1,0,MOD(ROW(712:712)-2,35))</f>
        <v>2000</v>
      </c>
      <c r="C712">
        <f ca="1" t="shared" si="121"/>
        <v>0.1824648</v>
      </c>
      <c r="D712">
        <f ca="1" t="shared" si="122"/>
        <v>5</v>
      </c>
      <c r="E712">
        <f ca="1" t="shared" si="123"/>
        <v>1</v>
      </c>
      <c r="F712">
        <f ca="1" t="shared" si="124"/>
        <v>0.3261862408</v>
      </c>
      <c r="G712">
        <f ca="1" t="shared" si="125"/>
        <v>0.041850126528</v>
      </c>
      <c r="H712">
        <f ca="1" t="shared" si="126"/>
        <v>0.44994907356</v>
      </c>
      <c r="I712">
        <f ca="1" t="shared" si="127"/>
        <v>892</v>
      </c>
      <c r="J712">
        <f ca="1" t="shared" si="128"/>
        <v>20</v>
      </c>
      <c r="K712">
        <f ca="1" t="shared" si="129"/>
        <v>18805</v>
      </c>
      <c r="L712">
        <f ca="1" t="shared" si="130"/>
        <v>3117</v>
      </c>
      <c r="M712">
        <f ca="1" t="shared" si="131"/>
        <v>0.01476531228</v>
      </c>
    </row>
    <row r="713" spans="1:13">
      <c r="A713" t="str">
        <f ca="1">OFFSET($N$2,(ROW(713:713)-2)/35,0)</f>
        <v>海南省</v>
      </c>
      <c r="B713">
        <f ca="1">OFFSET($O$1,0,MOD(ROW(713:713)-2,35))</f>
        <v>2001</v>
      </c>
      <c r="C713">
        <f ca="1" t="shared" si="121"/>
        <v>0.18428508</v>
      </c>
      <c r="D713">
        <f ca="1" t="shared" si="122"/>
        <v>5</v>
      </c>
      <c r="E713">
        <f ca="1" t="shared" si="123"/>
        <v>1</v>
      </c>
      <c r="F713">
        <f ca="1" t="shared" si="124"/>
        <v>0.361671755172</v>
      </c>
      <c r="G713">
        <f ca="1" t="shared" si="125"/>
        <v>0.0397705631148</v>
      </c>
      <c r="H713">
        <f ca="1" t="shared" si="126"/>
        <v>0.444154685562</v>
      </c>
      <c r="I713">
        <f ca="1" t="shared" si="127"/>
        <v>765</v>
      </c>
      <c r="J713">
        <f ca="1" t="shared" si="128"/>
        <v>21</v>
      </c>
      <c r="K713">
        <f ca="1" t="shared" si="129"/>
        <v>19718</v>
      </c>
      <c r="L713">
        <f ca="1" t="shared" si="130"/>
        <v>3316</v>
      </c>
      <c r="M713">
        <f ca="1" t="shared" si="131"/>
        <v>0.0134957229372</v>
      </c>
    </row>
    <row r="714" spans="1:13">
      <c r="A714" t="str">
        <f ca="1">OFFSET($N$2,(ROW(714:714)-2)/35,0)</f>
        <v>海南省</v>
      </c>
      <c r="B714">
        <f ca="1">OFFSET($O$1,0,MOD(ROW(714:714)-2,35))</f>
        <v>2002</v>
      </c>
      <c r="C714">
        <f ca="1" t="shared" si="121"/>
        <v>0.2013396</v>
      </c>
      <c r="D714">
        <f ca="1" t="shared" si="122"/>
        <v>5</v>
      </c>
      <c r="E714">
        <f ca="1" t="shared" si="123"/>
        <v>1</v>
      </c>
      <c r="F714">
        <f ca="1" t="shared" si="124"/>
        <v>0.37676008216</v>
      </c>
      <c r="G714">
        <f ca="1" t="shared" si="125"/>
        <v>0.042584332098</v>
      </c>
      <c r="H714">
        <f ca="1" t="shared" si="126"/>
        <v>0.4709836593</v>
      </c>
      <c r="I714">
        <f ca="1" t="shared" si="127"/>
        <v>1102</v>
      </c>
      <c r="J714">
        <f ca="1" t="shared" si="128"/>
        <v>39</v>
      </c>
      <c r="K714">
        <f ca="1" t="shared" si="129"/>
        <v>13778</v>
      </c>
      <c r="L714">
        <f ca="1" t="shared" si="130"/>
        <v>3206</v>
      </c>
      <c r="M714">
        <f ca="1" t="shared" si="131"/>
        <v>0.01444180188</v>
      </c>
    </row>
    <row r="715" spans="1:13">
      <c r="A715" t="str">
        <f ca="1">OFFSET($N$2,(ROW(715:715)-2)/35,0)</f>
        <v>海南省</v>
      </c>
      <c r="B715">
        <f ca="1">OFFSET($O$1,0,MOD(ROW(715:715)-2,35))</f>
        <v>2003</v>
      </c>
      <c r="C715">
        <f ca="1" t="shared" si="121"/>
        <v>0.19631052</v>
      </c>
      <c r="D715">
        <f ca="1" t="shared" si="122"/>
        <v>5</v>
      </c>
      <c r="E715">
        <f ca="1" t="shared" si="123"/>
        <v>1</v>
      </c>
      <c r="F715">
        <f ca="1" t="shared" si="124"/>
        <v>0.34033700484</v>
      </c>
      <c r="G715">
        <f ca="1" t="shared" si="125"/>
        <v>0.03970380267</v>
      </c>
      <c r="H715">
        <f ca="1" t="shared" si="126"/>
        <v>0.406421669556</v>
      </c>
      <c r="I715">
        <f ca="1" t="shared" si="127"/>
        <v>939</v>
      </c>
      <c r="J715">
        <f ca="1" t="shared" si="128"/>
        <v>26</v>
      </c>
      <c r="K715">
        <f ca="1" t="shared" si="129"/>
        <v>22141</v>
      </c>
      <c r="L715">
        <f ca="1" t="shared" si="130"/>
        <v>3400</v>
      </c>
      <c r="M715">
        <f ca="1" t="shared" si="131"/>
        <v>0.0144980927892</v>
      </c>
    </row>
    <row r="716" spans="1:13">
      <c r="A716" t="str">
        <f ca="1">OFFSET($N$2,(ROW(716:716)-2)/35,0)</f>
        <v>海南省</v>
      </c>
      <c r="B716">
        <f ca="1">OFFSET($O$1,0,MOD(ROW(716:716)-2,35))</f>
        <v>2004</v>
      </c>
      <c r="C716">
        <f ca="1" t="shared" si="121"/>
        <v>0.2099664</v>
      </c>
      <c r="D716">
        <f ca="1" t="shared" si="122"/>
        <v>5</v>
      </c>
      <c r="E716">
        <f ca="1" t="shared" si="123"/>
        <v>1</v>
      </c>
      <c r="F716">
        <f ca="1" t="shared" si="124"/>
        <v>0.40461225168</v>
      </c>
      <c r="G716">
        <f ca="1" t="shared" si="125"/>
        <v>0.042776454672</v>
      </c>
      <c r="H716">
        <f ca="1" t="shared" si="126"/>
        <v>0.476623728</v>
      </c>
      <c r="I716">
        <f ca="1" t="shared" si="127"/>
        <v>1204</v>
      </c>
      <c r="J716">
        <f ca="1" t="shared" si="128"/>
        <v>34</v>
      </c>
      <c r="K716">
        <f ca="1" t="shared" si="129"/>
        <v>19305</v>
      </c>
      <c r="L716">
        <f ca="1" t="shared" si="130"/>
        <v>4050</v>
      </c>
      <c r="M716">
        <f ca="1" t="shared" si="131"/>
        <v>0.015312249648</v>
      </c>
    </row>
    <row r="717" spans="1:13">
      <c r="A717" t="str">
        <f ca="1">OFFSET($N$2,(ROW(717:717)-2)/35,0)</f>
        <v>海南省</v>
      </c>
      <c r="B717">
        <f ca="1">OFFSET($O$1,0,MOD(ROW(717:717)-2,35))</f>
        <v>2005</v>
      </c>
      <c r="C717">
        <f ca="1" t="shared" si="121"/>
        <v>0.227115</v>
      </c>
      <c r="D717">
        <f ca="1" t="shared" si="122"/>
        <v>5</v>
      </c>
      <c r="E717">
        <f ca="1" t="shared" si="123"/>
        <v>1</v>
      </c>
      <c r="F717">
        <f ca="1" t="shared" si="124"/>
        <v>0.4532988285</v>
      </c>
      <c r="G717">
        <f ca="1" t="shared" si="125"/>
        <v>0.05483691675</v>
      </c>
      <c r="H717">
        <f ca="1" t="shared" si="126"/>
        <v>0.487752174</v>
      </c>
      <c r="I717">
        <f ca="1" t="shared" si="127"/>
        <v>1254</v>
      </c>
      <c r="J717">
        <f ca="1" t="shared" si="128"/>
        <v>32</v>
      </c>
      <c r="K717">
        <f ca="1" t="shared" si="129"/>
        <v>26391</v>
      </c>
      <c r="L717">
        <f ca="1" t="shared" si="130"/>
        <v>3459</v>
      </c>
      <c r="M717">
        <f ca="1" t="shared" si="131"/>
        <v>0.01757318535</v>
      </c>
    </row>
    <row r="718" spans="1:13">
      <c r="A718" t="str">
        <f ca="1">OFFSET($N$2,(ROW(718:718)-2)/35,0)</f>
        <v>海南省</v>
      </c>
      <c r="B718">
        <f ca="1">OFFSET($O$1,0,MOD(ROW(718:718)-2,35))</f>
        <v>2006</v>
      </c>
      <c r="C718">
        <f ca="1" t="shared" si="121"/>
        <v>0.22038744</v>
      </c>
      <c r="D718">
        <f ca="1" t="shared" si="122"/>
        <v>5</v>
      </c>
      <c r="E718">
        <f ca="1" t="shared" si="123"/>
        <v>1</v>
      </c>
      <c r="F718">
        <f ca="1" t="shared" si="124"/>
        <v>0.437454375904</v>
      </c>
      <c r="G718">
        <f ca="1" t="shared" si="125"/>
        <v>0.044788237494</v>
      </c>
      <c r="H718">
        <f ca="1" t="shared" si="126"/>
        <v>0.47504512692</v>
      </c>
      <c r="I718">
        <f ca="1" t="shared" si="127"/>
        <v>1206</v>
      </c>
      <c r="J718">
        <f ca="1" t="shared" si="128"/>
        <v>37</v>
      </c>
      <c r="K718">
        <f ca="1" t="shared" si="129"/>
        <v>19348</v>
      </c>
      <c r="L718">
        <f ca="1" t="shared" si="130"/>
        <v>3659</v>
      </c>
      <c r="M718">
        <f ca="1" t="shared" si="131"/>
        <v>0.0173466954024</v>
      </c>
    </row>
    <row r="719" spans="1:13">
      <c r="A719" t="str">
        <f ca="1">OFFSET($N$2,(ROW(719:719)-2)/35,0)</f>
        <v>海南省</v>
      </c>
      <c r="B719">
        <f ca="1">OFFSET($O$1,0,MOD(ROW(719:719)-2,35))</f>
        <v>2007</v>
      </c>
      <c r="C719">
        <f ca="1" t="shared" si="121"/>
        <v>0.23398956</v>
      </c>
      <c r="D719">
        <f ca="1" t="shared" si="122"/>
        <v>6</v>
      </c>
      <c r="E719">
        <f ca="1" t="shared" si="123"/>
        <v>1</v>
      </c>
      <c r="F719">
        <f ca="1" t="shared" si="124"/>
        <v>0.429932417544</v>
      </c>
      <c r="G719">
        <f ca="1" t="shared" si="125"/>
        <v>0.051196915728</v>
      </c>
      <c r="H719">
        <f ca="1" t="shared" si="126"/>
        <v>0.483738316866</v>
      </c>
      <c r="I719">
        <f ca="1" t="shared" si="127"/>
        <v>1067</v>
      </c>
      <c r="J719">
        <f ca="1" t="shared" si="128"/>
        <v>41</v>
      </c>
      <c r="K719">
        <f ca="1" t="shared" si="129"/>
        <v>22448</v>
      </c>
      <c r="L719">
        <f ca="1" t="shared" si="130"/>
        <v>4114</v>
      </c>
      <c r="M719">
        <f ca="1" t="shared" si="131"/>
        <v>0.0179249373792</v>
      </c>
    </row>
    <row r="720" spans="1:13">
      <c r="A720" t="str">
        <f ca="1">OFFSET($N$2,(ROW(720:720)-2)/35,0)</f>
        <v>海南省</v>
      </c>
      <c r="B720">
        <f ca="1">OFFSET($O$1,0,MOD(ROW(720:720)-2,35))</f>
        <v>2008</v>
      </c>
      <c r="C720">
        <f ca="1" t="shared" si="121"/>
        <v>0.24773616</v>
      </c>
      <c r="D720">
        <f ca="1" t="shared" si="122"/>
        <v>7</v>
      </c>
      <c r="E720">
        <f ca="1" t="shared" si="123"/>
        <v>1</v>
      </c>
      <c r="F720">
        <f ca="1" t="shared" si="124"/>
        <v>0.468848940672</v>
      </c>
      <c r="G720">
        <f ca="1" t="shared" si="125"/>
        <v>0.0498853918584</v>
      </c>
      <c r="H720">
        <f ca="1" t="shared" si="126"/>
        <v>0.50271860268</v>
      </c>
      <c r="I720">
        <f ca="1" t="shared" si="127"/>
        <v>1438</v>
      </c>
      <c r="J720">
        <f ca="1" t="shared" si="128"/>
        <v>44</v>
      </c>
      <c r="K720">
        <f ca="1" t="shared" si="129"/>
        <v>28902</v>
      </c>
      <c r="L720">
        <f ca="1" t="shared" si="130"/>
        <v>3330</v>
      </c>
      <c r="M720">
        <f ca="1" t="shared" si="131"/>
        <v>0.0177064111728</v>
      </c>
    </row>
    <row r="721" spans="1:13">
      <c r="A721" t="str">
        <f ca="1">OFFSET($N$2,(ROW(721:721)-2)/35,0)</f>
        <v>海南省</v>
      </c>
      <c r="B721">
        <f ca="1">OFFSET($O$1,0,MOD(ROW(721:721)-2,35))</f>
        <v>2009</v>
      </c>
      <c r="C721">
        <f ca="1" t="shared" si="121"/>
        <v>0.2568762</v>
      </c>
      <c r="D721">
        <f ca="1" t="shared" si="122"/>
        <v>7</v>
      </c>
      <c r="E721">
        <f ca="1" t="shared" si="123"/>
        <v>1</v>
      </c>
      <c r="F721">
        <f ca="1" t="shared" si="124"/>
        <v>0.45654607026</v>
      </c>
      <c r="G721">
        <f ca="1" t="shared" si="125"/>
        <v>0.058544654742</v>
      </c>
      <c r="H721">
        <f ca="1" t="shared" si="126"/>
        <v>0.58755293226</v>
      </c>
      <c r="I721">
        <f ca="1" t="shared" si="127"/>
        <v>1084</v>
      </c>
      <c r="J721">
        <f ca="1" t="shared" si="128"/>
        <v>28</v>
      </c>
      <c r="K721">
        <f ca="1" t="shared" si="129"/>
        <v>18766</v>
      </c>
      <c r="L721">
        <f ca="1" t="shared" si="130"/>
        <v>4532</v>
      </c>
      <c r="M721">
        <f ca="1" t="shared" si="131"/>
        <v>0.020576884518</v>
      </c>
    </row>
    <row r="722" spans="1:13">
      <c r="A722" t="str">
        <f ca="1">OFFSET($N$2,(ROW(722:722)-2)/35,0)</f>
        <v>海南省</v>
      </c>
      <c r="B722">
        <f ca="1">OFFSET($O$1,0,MOD(ROW(722:722)-2,35))</f>
        <v>2010</v>
      </c>
      <c r="C722">
        <f ca="1" t="shared" si="121"/>
        <v>0.2731176</v>
      </c>
      <c r="D722">
        <f ca="1" t="shared" si="122"/>
        <v>7</v>
      </c>
      <c r="E722">
        <f ca="1" t="shared" si="123"/>
        <v>1</v>
      </c>
      <c r="F722">
        <f ca="1" t="shared" si="124"/>
        <v>0.47669035512</v>
      </c>
      <c r="G722">
        <f ca="1" t="shared" si="125"/>
        <v>0.057401125992</v>
      </c>
      <c r="H722">
        <f ca="1" t="shared" si="126"/>
        <v>0.6334279938</v>
      </c>
      <c r="I722">
        <f ca="1" t="shared" si="127"/>
        <v>1136</v>
      </c>
      <c r="J722">
        <f ca="1" t="shared" si="128"/>
        <v>42</v>
      </c>
      <c r="K722">
        <f ca="1" t="shared" si="129"/>
        <v>23827</v>
      </c>
      <c r="L722">
        <f ca="1" t="shared" si="130"/>
        <v>4364</v>
      </c>
      <c r="M722">
        <f ca="1" t="shared" si="131"/>
        <v>0.021650032152</v>
      </c>
    </row>
    <row r="723" spans="1:13">
      <c r="A723" t="str">
        <f ca="1">OFFSET($N$2,(ROW(723:723)-2)/35,0)</f>
        <v>海南省</v>
      </c>
      <c r="B723">
        <f ca="1">OFFSET($O$1,0,MOD(ROW(723:723)-2,35))</f>
        <v>2011</v>
      </c>
      <c r="C723">
        <f ca="1" t="shared" si="121"/>
        <v>0.26826408</v>
      </c>
      <c r="D723">
        <f ca="1" t="shared" si="122"/>
        <v>7</v>
      </c>
      <c r="E723">
        <f ca="1" t="shared" si="123"/>
        <v>1</v>
      </c>
      <c r="F723">
        <f ca="1" t="shared" si="124"/>
        <v>0.477277566864</v>
      </c>
      <c r="G723">
        <f ca="1" t="shared" si="125"/>
        <v>0.0629025614784</v>
      </c>
      <c r="H723">
        <f ca="1" t="shared" si="126"/>
        <v>0.546011295228</v>
      </c>
      <c r="I723">
        <f ca="1" t="shared" si="127"/>
        <v>1521</v>
      </c>
      <c r="J723">
        <f ca="1" t="shared" si="128"/>
        <v>50</v>
      </c>
      <c r="K723">
        <f ca="1" t="shared" si="129"/>
        <v>27440</v>
      </c>
      <c r="L723">
        <f ca="1" t="shared" si="130"/>
        <v>5165</v>
      </c>
      <c r="M723">
        <f ca="1" t="shared" si="131"/>
        <v>0.0204880942584</v>
      </c>
    </row>
    <row r="724" spans="1:13">
      <c r="A724" t="str">
        <f ca="1">OFFSET($N$2,(ROW(724:724)-2)/35,0)</f>
        <v>海南省</v>
      </c>
      <c r="B724">
        <f ca="1">OFFSET($O$1,0,MOD(ROW(724:724)-2,35))</f>
        <v>2012</v>
      </c>
      <c r="C724">
        <f ca="1" t="shared" si="121"/>
        <v>0.28979328</v>
      </c>
      <c r="D724">
        <f ca="1" t="shared" si="122"/>
        <v>8</v>
      </c>
      <c r="E724">
        <f ca="1" t="shared" si="123"/>
        <v>1</v>
      </c>
      <c r="F724">
        <f ca="1" t="shared" si="124"/>
        <v>0.529944971136</v>
      </c>
      <c r="G724">
        <f ca="1" t="shared" si="125"/>
        <v>0.0582513472128</v>
      </c>
      <c r="H724">
        <f ca="1" t="shared" si="126"/>
        <v>0.621794951232</v>
      </c>
      <c r="I724">
        <f ca="1" t="shared" si="127"/>
        <v>1264</v>
      </c>
      <c r="J724">
        <f ca="1" t="shared" si="128"/>
        <v>40</v>
      </c>
      <c r="K724">
        <f ca="1" t="shared" si="129"/>
        <v>30148</v>
      </c>
      <c r="L724">
        <f ca="1" t="shared" si="130"/>
        <v>2977</v>
      </c>
      <c r="M724">
        <f ca="1" t="shared" si="131"/>
        <v>0.020923074816</v>
      </c>
    </row>
    <row r="725" spans="1:13">
      <c r="A725" t="str">
        <f ca="1">OFFSET($N$2,(ROW(725:725)-2)/35,0)</f>
        <v>海南省</v>
      </c>
      <c r="B725">
        <f ca="1">OFFSET($O$1,0,MOD(ROW(725:725)-2,35))</f>
        <v>2013</v>
      </c>
      <c r="C725">
        <f ca="1" t="shared" si="121"/>
        <v>0.28792764</v>
      </c>
      <c r="D725">
        <f ca="1" t="shared" si="122"/>
        <v>9</v>
      </c>
      <c r="E725">
        <f ca="1" t="shared" si="123"/>
        <v>1</v>
      </c>
      <c r="F725">
        <f ca="1" t="shared" si="124"/>
        <v>0.549442717824</v>
      </c>
      <c r="G725">
        <f ca="1" t="shared" si="125"/>
        <v>0.0667761782688</v>
      </c>
      <c r="H725">
        <f ca="1" t="shared" si="126"/>
        <v>0.718652993058</v>
      </c>
      <c r="I725">
        <f ca="1" t="shared" si="127"/>
        <v>1355</v>
      </c>
      <c r="J725">
        <f ca="1" t="shared" si="128"/>
        <v>41</v>
      </c>
      <c r="K725">
        <f ca="1" t="shared" si="129"/>
        <v>27873</v>
      </c>
      <c r="L725">
        <f ca="1" t="shared" si="130"/>
        <v>5121</v>
      </c>
      <c r="M725">
        <f ca="1" t="shared" si="131"/>
        <v>0.021218210442</v>
      </c>
    </row>
    <row r="726" spans="1:13">
      <c r="A726" t="str">
        <f ca="1">OFFSET($N$2,(ROW(726:726)-2)/35,0)</f>
        <v>海南省</v>
      </c>
      <c r="B726">
        <f ca="1">OFFSET($O$1,0,MOD(ROW(726:726)-2,35))</f>
        <v>2014</v>
      </c>
      <c r="C726">
        <f ca="1" t="shared" si="121"/>
        <v>0.29679552</v>
      </c>
      <c r="D726">
        <f ca="1" t="shared" si="122"/>
        <v>9</v>
      </c>
      <c r="E726">
        <f ca="1" t="shared" si="123"/>
        <v>1</v>
      </c>
      <c r="F726">
        <f ca="1" t="shared" si="124"/>
        <v>0.529018228032</v>
      </c>
      <c r="G726">
        <f ca="1" t="shared" si="125"/>
        <v>0.073523670192</v>
      </c>
      <c r="H726">
        <f ca="1" t="shared" si="126"/>
        <v>0.6470142336</v>
      </c>
      <c r="I726">
        <f ca="1" t="shared" si="127"/>
        <v>1249</v>
      </c>
      <c r="J726">
        <f ca="1" t="shared" si="128"/>
        <v>41</v>
      </c>
      <c r="K726">
        <f ca="1" t="shared" si="129"/>
        <v>29755</v>
      </c>
      <c r="L726">
        <f ca="1" t="shared" si="130"/>
        <v>4317</v>
      </c>
      <c r="M726">
        <f ca="1" t="shared" si="131"/>
        <v>0.0252437309568</v>
      </c>
    </row>
    <row r="727" spans="1:13">
      <c r="A727" t="str">
        <f ca="1">OFFSET($N$2,(ROW(727:727)-2)/35,0)</f>
        <v>海南省</v>
      </c>
      <c r="B727">
        <f ca="1">OFFSET($O$1,0,MOD(ROW(727:727)-2,35))</f>
        <v>2015</v>
      </c>
      <c r="C727">
        <f ca="1" t="shared" si="121"/>
        <v>0.2994096</v>
      </c>
      <c r="D727">
        <f ca="1" t="shared" si="122"/>
        <v>9</v>
      </c>
      <c r="E727">
        <f ca="1" t="shared" si="123"/>
        <v>1</v>
      </c>
      <c r="F727">
        <f ca="1" t="shared" si="124"/>
        <v>0.57020562256</v>
      </c>
      <c r="G727">
        <f ca="1" t="shared" si="125"/>
        <v>0.071135229816</v>
      </c>
      <c r="H727">
        <f ca="1" t="shared" si="126"/>
        <v>0.69331286976</v>
      </c>
      <c r="I727">
        <f ca="1" t="shared" si="127"/>
        <v>1407</v>
      </c>
      <c r="J727">
        <f ca="1" t="shared" si="128"/>
        <v>56</v>
      </c>
      <c r="K727">
        <f ca="1" t="shared" si="129"/>
        <v>25993</v>
      </c>
      <c r="L727">
        <f ca="1" t="shared" si="130"/>
        <v>3732</v>
      </c>
      <c r="M727">
        <f ca="1" t="shared" si="131"/>
        <v>0.0243056436</v>
      </c>
    </row>
    <row r="728" spans="1:13">
      <c r="A728" t="str">
        <f ca="1">OFFSET($N$2,(ROW(728:728)-2)/35,0)</f>
        <v>海南省</v>
      </c>
      <c r="B728">
        <f ca="1">OFFSET($O$1,0,MOD(ROW(728:728)-2,35))</f>
        <v>2016</v>
      </c>
      <c r="C728">
        <f ca="1" t="shared" si="121"/>
        <v>0.30370032</v>
      </c>
      <c r="D728">
        <f ca="1" t="shared" si="122"/>
        <v>9</v>
      </c>
      <c r="E728">
        <f ca="1" t="shared" si="123"/>
        <v>1</v>
      </c>
      <c r="F728">
        <f ca="1" t="shared" si="124"/>
        <v>0.566563070304</v>
      </c>
      <c r="G728">
        <f ca="1" t="shared" si="125"/>
        <v>0.0714500557848</v>
      </c>
      <c r="H728">
        <f ca="1" t="shared" si="126"/>
        <v>0.716565720024</v>
      </c>
      <c r="I728">
        <f ca="1" t="shared" si="127"/>
        <v>1332</v>
      </c>
      <c r="J728">
        <f ca="1" t="shared" si="128"/>
        <v>85</v>
      </c>
      <c r="K728">
        <f ca="1" t="shared" si="129"/>
        <v>35001</v>
      </c>
      <c r="L728">
        <f ca="1" t="shared" si="130"/>
        <v>5551</v>
      </c>
      <c r="M728">
        <f ca="1" t="shared" si="131"/>
        <v>0.024439198608</v>
      </c>
    </row>
    <row r="729" spans="1:13">
      <c r="A729" t="str">
        <f ca="1">OFFSET($N$2,(ROW(729:729)-2)/35,0)</f>
        <v>海南省</v>
      </c>
      <c r="B729">
        <f ca="1">OFFSET($O$1,0,MOD(ROW(729:729)-2,35))</f>
        <v>2017</v>
      </c>
      <c r="C729">
        <f ca="1" t="shared" si="121"/>
        <v>0.32096316</v>
      </c>
      <c r="D729">
        <f ca="1" t="shared" si="122"/>
        <v>9</v>
      </c>
      <c r="E729">
        <f ca="1" t="shared" si="123"/>
        <v>1</v>
      </c>
      <c r="F729">
        <f ca="1" t="shared" si="124"/>
        <v>0.537281631068</v>
      </c>
      <c r="G729">
        <f ca="1" t="shared" si="125"/>
        <v>0.072449409291</v>
      </c>
      <c r="H729">
        <f ca="1" t="shared" si="126"/>
        <v>0.765481088442</v>
      </c>
      <c r="I729">
        <f ca="1" t="shared" si="127"/>
        <v>1537</v>
      </c>
      <c r="J729">
        <f ca="1" t="shared" si="128"/>
        <v>52</v>
      </c>
      <c r="K729">
        <f ca="1" t="shared" si="129"/>
        <v>31394</v>
      </c>
      <c r="L729">
        <f ca="1" t="shared" si="130"/>
        <v>6328</v>
      </c>
      <c r="M729">
        <f ca="1" t="shared" si="131"/>
        <v>0.0273905375556</v>
      </c>
    </row>
    <row r="730" spans="1:13">
      <c r="A730" t="str">
        <f ca="1">OFFSET($N$2,(ROW(730:730)-2)/35,0)</f>
        <v>海南省</v>
      </c>
      <c r="B730">
        <f ca="1">OFFSET($O$1,0,MOD(ROW(730:730)-2,35))</f>
        <v>2018</v>
      </c>
      <c r="C730">
        <f ca="1" t="shared" si="121"/>
        <v>0.32370072</v>
      </c>
      <c r="D730">
        <f ca="1" t="shared" si="122"/>
        <v>9</v>
      </c>
      <c r="E730">
        <f ca="1" t="shared" si="123"/>
        <v>1</v>
      </c>
      <c r="F730">
        <f ca="1" t="shared" si="124"/>
        <v>0.613002843488</v>
      </c>
      <c r="G730">
        <f ca="1" t="shared" si="125"/>
        <v>0.0688608541656</v>
      </c>
      <c r="H730">
        <f ca="1" t="shared" si="126"/>
        <v>0.762865486824</v>
      </c>
      <c r="I730">
        <f ca="1" t="shared" si="127"/>
        <v>1861</v>
      </c>
      <c r="J730">
        <f ca="1" t="shared" si="128"/>
        <v>311</v>
      </c>
      <c r="K730">
        <f ca="1" t="shared" si="129"/>
        <v>37857</v>
      </c>
      <c r="L730">
        <f ca="1" t="shared" si="130"/>
        <v>4195</v>
      </c>
      <c r="M730">
        <f ca="1" t="shared" si="131"/>
        <v>0.0255903916344</v>
      </c>
    </row>
    <row r="731" spans="1:13">
      <c r="A731" t="str">
        <f ca="1">OFFSET($N$2,(ROW(731:731)-2)/35,0)</f>
        <v>海南省</v>
      </c>
      <c r="B731">
        <f ca="1">OFFSET($O$1,0,MOD(ROW(731:731)-2,35))</f>
        <v>2019</v>
      </c>
      <c r="C731">
        <f ca="1" t="shared" si="121"/>
        <v>0.34358688</v>
      </c>
      <c r="D731">
        <f ca="1" t="shared" si="122"/>
        <v>9</v>
      </c>
      <c r="E731">
        <f ca="1" t="shared" si="123"/>
        <v>1</v>
      </c>
      <c r="F731">
        <f ca="1" t="shared" si="124"/>
        <v>0.579653972352</v>
      </c>
      <c r="G731">
        <f ca="1" t="shared" si="125"/>
        <v>0.0827580538512</v>
      </c>
      <c r="H731">
        <f ca="1" t="shared" si="126"/>
        <v>0.849278049984</v>
      </c>
      <c r="I731">
        <f ca="1" t="shared" si="127"/>
        <v>1492</v>
      </c>
      <c r="J731">
        <f ca="1" t="shared" si="128"/>
        <v>311</v>
      </c>
      <c r="K731">
        <f ca="1" t="shared" si="129"/>
        <v>33852</v>
      </c>
      <c r="L731">
        <f ca="1" t="shared" si="130"/>
        <v>5792</v>
      </c>
      <c r="M731">
        <f ca="1" t="shared" si="131"/>
        <v>0.0292598587008</v>
      </c>
    </row>
    <row r="732" spans="1:13">
      <c r="A732" t="str">
        <f ca="1">OFFSET($N$2,(ROW(732:732)-2)/35,0)</f>
        <v>海南省</v>
      </c>
      <c r="B732">
        <f ca="1">OFFSET($O$1,0,MOD(ROW(732:732)-2,35))</f>
        <v>2020</v>
      </c>
      <c r="C732">
        <f ca="1" t="shared" si="121"/>
        <v>0.3537744</v>
      </c>
      <c r="D732">
        <f ca="1" t="shared" si="122"/>
        <v>9</v>
      </c>
      <c r="E732">
        <f ca="1" t="shared" si="123"/>
        <v>1</v>
      </c>
      <c r="F732">
        <f ca="1" t="shared" si="124"/>
        <v>0.65620434208</v>
      </c>
      <c r="G732">
        <f ca="1" t="shared" si="125"/>
        <v>0.087909400656</v>
      </c>
      <c r="H732">
        <f ca="1" t="shared" si="126"/>
        <v>0.80582732832</v>
      </c>
      <c r="I732">
        <f ca="1" t="shared" si="127"/>
        <v>1444</v>
      </c>
      <c r="J732">
        <f ca="1" t="shared" si="128"/>
        <v>253</v>
      </c>
      <c r="K732">
        <f ca="1" t="shared" si="129"/>
        <v>24788</v>
      </c>
      <c r="L732">
        <f ca="1" t="shared" si="130"/>
        <v>3676</v>
      </c>
      <c r="M732">
        <f ca="1" t="shared" si="131"/>
        <v>0.026147971296</v>
      </c>
    </row>
    <row r="733" spans="1:13">
      <c r="A733" t="str">
        <f ca="1">OFFSET($N$2,(ROW(733:733)-2)/35,0)</f>
        <v>海南省</v>
      </c>
      <c r="B733">
        <f ca="1">OFFSET($O$1,0,MOD(ROW(733:733)-2,35))</f>
        <v>2021</v>
      </c>
      <c r="C733">
        <f ca="1" t="shared" si="121"/>
        <v>0.35001372</v>
      </c>
      <c r="D733">
        <f ca="1" t="shared" si="122"/>
        <v>9</v>
      </c>
      <c r="E733">
        <f ca="1" t="shared" si="123"/>
        <v>1</v>
      </c>
      <c r="F733">
        <f ca="1" t="shared" si="124"/>
        <v>0.68526852814</v>
      </c>
      <c r="G733">
        <f ca="1" t="shared" si="125"/>
        <v>0.0717195612966</v>
      </c>
      <c r="H733">
        <f ca="1" t="shared" si="126"/>
        <v>0.782070655968</v>
      </c>
      <c r="I733">
        <f ca="1" t="shared" si="127"/>
        <v>1769</v>
      </c>
      <c r="J733">
        <f ca="1" t="shared" si="128"/>
        <v>176</v>
      </c>
      <c r="K733">
        <f ca="1" t="shared" si="129"/>
        <v>40116</v>
      </c>
      <c r="L733">
        <f ca="1" t="shared" si="130"/>
        <v>5067</v>
      </c>
      <c r="M733">
        <f ca="1" t="shared" si="131"/>
        <v>0.0287401265688</v>
      </c>
    </row>
    <row r="734" spans="1:13">
      <c r="A734" t="str">
        <f ca="1">OFFSET($N$2,(ROW(734:734)-2)/35,0)</f>
        <v>海南省</v>
      </c>
      <c r="B734">
        <f ca="1">OFFSET($O$1,0,MOD(ROW(734:734)-2,35))</f>
        <v>2022</v>
      </c>
      <c r="C734">
        <f ca="1" t="shared" si="121"/>
        <v>0.37435608</v>
      </c>
      <c r="D734">
        <f ca="1" t="shared" si="122"/>
        <v>9</v>
      </c>
      <c r="E734">
        <f ca="1" t="shared" si="123"/>
        <v>1</v>
      </c>
      <c r="F734">
        <f ca="1" t="shared" si="124"/>
        <v>0.630003847032</v>
      </c>
      <c r="G734">
        <f ca="1" t="shared" si="125"/>
        <v>0.0786110332392</v>
      </c>
      <c r="H734">
        <f ca="1" t="shared" si="126"/>
        <v>0.750733682832</v>
      </c>
      <c r="I734">
        <f ca="1" t="shared" si="127"/>
        <v>2016</v>
      </c>
      <c r="J734">
        <f ca="1" t="shared" si="128"/>
        <v>302</v>
      </c>
      <c r="K734">
        <f ca="1" t="shared" si="129"/>
        <v>37398</v>
      </c>
      <c r="L734">
        <f ca="1" t="shared" si="130"/>
        <v>5401</v>
      </c>
      <c r="M734">
        <f ca="1" t="shared" si="131"/>
        <v>0.0278536967352</v>
      </c>
    </row>
    <row r="735" spans="1:13">
      <c r="A735" t="str">
        <f ca="1">OFFSET($N$2,(ROW(735:735)-2)/35,0)</f>
        <v>海南省</v>
      </c>
      <c r="B735">
        <f ca="1">OFFSET($O$1,0,MOD(ROW(735:735)-2,35))</f>
        <v>2023</v>
      </c>
      <c r="C735">
        <f ca="1" t="shared" si="121"/>
        <v>0.39728388</v>
      </c>
      <c r="D735">
        <f ca="1" t="shared" si="122"/>
        <v>9</v>
      </c>
      <c r="E735">
        <f ca="1" t="shared" si="123"/>
        <v>1</v>
      </c>
      <c r="F735">
        <f ca="1" t="shared" si="124"/>
        <v>0.665596169756</v>
      </c>
      <c r="G735">
        <f ca="1" t="shared" si="125"/>
        <v>0.0954633435252</v>
      </c>
      <c r="H735">
        <f ca="1" t="shared" si="126"/>
        <v>0.87412385697</v>
      </c>
      <c r="I735">
        <f ca="1" t="shared" si="127"/>
        <v>2230</v>
      </c>
      <c r="J735">
        <f ca="1" t="shared" si="128"/>
        <v>332</v>
      </c>
      <c r="K735">
        <f ca="1" t="shared" si="129"/>
        <v>28390</v>
      </c>
      <c r="L735">
        <f ca="1" t="shared" si="130"/>
        <v>5854</v>
      </c>
      <c r="M735">
        <f ca="1" t="shared" si="131"/>
        <v>0.03128610555</v>
      </c>
    </row>
    <row r="736" spans="1:13">
      <c r="A736" t="str">
        <f ca="1">OFFSET($N$2,(ROW(736:736)-2)/35,0)</f>
        <v>海南省</v>
      </c>
      <c r="B736">
        <f ca="1">OFFSET($O$1,0,MOD(ROW(736:736)-2,35))</f>
        <v>2024</v>
      </c>
      <c r="C736">
        <f ca="1" t="shared" si="121"/>
        <v>0.39358704</v>
      </c>
      <c r="D736">
        <f ca="1" t="shared" si="122"/>
        <v>9</v>
      </c>
      <c r="E736">
        <f ca="1" t="shared" si="123"/>
        <v>2</v>
      </c>
      <c r="F736">
        <f ca="1" t="shared" si="124"/>
        <v>0.7796303284</v>
      </c>
      <c r="G736">
        <f ca="1" t="shared" si="125"/>
        <v>0.0930656235432</v>
      </c>
      <c r="H736">
        <f ca="1" t="shared" si="126"/>
        <v>0.826158876312</v>
      </c>
      <c r="I736">
        <f ca="1" t="shared" si="127"/>
        <v>1933</v>
      </c>
      <c r="J736">
        <f ca="1" t="shared" si="128"/>
        <v>286</v>
      </c>
      <c r="K736">
        <f ca="1" t="shared" si="129"/>
        <v>29250</v>
      </c>
      <c r="L736">
        <f ca="1" t="shared" si="130"/>
        <v>7837</v>
      </c>
      <c r="M736">
        <f ca="1" t="shared" si="131"/>
        <v>0.0323298017328</v>
      </c>
    </row>
    <row r="737" spans="1:13">
      <c r="A737" t="str">
        <f ca="1">OFFSET($N$2,(ROW(737:737)-2)/35,0)</f>
        <v>重庆市</v>
      </c>
      <c r="B737">
        <f ca="1">OFFSET($O$1,0,MOD(ROW(737:737)-2,35))</f>
        <v>1990</v>
      </c>
      <c r="C737">
        <f ca="1" t="shared" si="121"/>
        <v>0.0880488</v>
      </c>
      <c r="D737">
        <f ca="1" t="shared" si="122"/>
        <v>2</v>
      </c>
      <c r="E737">
        <f ca="1" t="shared" si="123"/>
        <v>0</v>
      </c>
      <c r="F737">
        <f ca="1" t="shared" si="124"/>
        <v>0.16599253272</v>
      </c>
      <c r="G737">
        <f ca="1" t="shared" si="125"/>
        <v>0.018904957848</v>
      </c>
      <c r="H737">
        <f ca="1" t="shared" si="126"/>
        <v>0.21478184028</v>
      </c>
      <c r="I737">
        <f ca="1" t="shared" si="127"/>
        <v>392</v>
      </c>
      <c r="J737">
        <f ca="1" t="shared" si="128"/>
        <v>10</v>
      </c>
      <c r="K737">
        <f ca="1" t="shared" si="129"/>
        <v>10558</v>
      </c>
      <c r="L737">
        <f ca="1" t="shared" si="130"/>
        <v>1683</v>
      </c>
      <c r="M737">
        <f ca="1" t="shared" si="131"/>
        <v>0.007017112008</v>
      </c>
    </row>
    <row r="738" spans="1:13">
      <c r="A738" t="str">
        <f ca="1">OFFSET($N$2,(ROW(738:738)-2)/35,0)</f>
        <v>重庆市</v>
      </c>
      <c r="B738">
        <f ca="1">OFFSET($O$1,0,MOD(ROW(738:738)-2,35))</f>
        <v>1991</v>
      </c>
      <c r="C738">
        <f ca="1" t="shared" si="121"/>
        <v>0.093786</v>
      </c>
      <c r="D738">
        <f ca="1" t="shared" si="122"/>
        <v>2</v>
      </c>
      <c r="E738">
        <f ca="1" t="shared" si="123"/>
        <v>0</v>
      </c>
      <c r="F738">
        <f ca="1" t="shared" si="124"/>
        <v>0.185602494</v>
      </c>
      <c r="G738">
        <f ca="1" t="shared" si="125"/>
        <v>0.02210160876</v>
      </c>
      <c r="H738">
        <f ca="1" t="shared" si="126"/>
        <v>0.2022682662</v>
      </c>
      <c r="I738">
        <f ca="1" t="shared" si="127"/>
        <v>544</v>
      </c>
      <c r="J738">
        <f ca="1" t="shared" si="128"/>
        <v>13</v>
      </c>
      <c r="K738">
        <f ca="1" t="shared" si="129"/>
        <v>9535</v>
      </c>
      <c r="L738">
        <f ca="1" t="shared" si="130"/>
        <v>1796</v>
      </c>
      <c r="M738">
        <f ca="1" t="shared" si="131"/>
        <v>0.00787427256</v>
      </c>
    </row>
    <row r="739" spans="1:13">
      <c r="A739" t="str">
        <f ca="1">OFFSET($N$2,(ROW(739:739)-2)/35,0)</f>
        <v>重庆市</v>
      </c>
      <c r="B739">
        <f ca="1">OFFSET($O$1,0,MOD(ROW(739:739)-2,35))</f>
        <v>1992</v>
      </c>
      <c r="C739">
        <f ca="1" t="shared" si="121"/>
        <v>0.10154592</v>
      </c>
      <c r="D739">
        <f ca="1" t="shared" si="122"/>
        <v>2</v>
      </c>
      <c r="E739">
        <f ca="1" t="shared" si="123"/>
        <v>1</v>
      </c>
      <c r="F739">
        <f ca="1" t="shared" si="124"/>
        <v>0.189210512736</v>
      </c>
      <c r="G739">
        <f ca="1" t="shared" si="125"/>
        <v>0.0245304478944</v>
      </c>
      <c r="H739">
        <f ca="1" t="shared" si="126"/>
        <v>0.238221651024</v>
      </c>
      <c r="I739">
        <f ca="1" t="shared" si="127"/>
        <v>556</v>
      </c>
      <c r="J739">
        <f ca="1" t="shared" si="128"/>
        <v>17</v>
      </c>
      <c r="K739">
        <f ca="1" t="shared" si="129"/>
        <v>8824</v>
      </c>
      <c r="L739">
        <f ca="1" t="shared" si="130"/>
        <v>1561</v>
      </c>
      <c r="M739">
        <f ca="1" t="shared" si="131"/>
        <v>0.0077263389216</v>
      </c>
    </row>
    <row r="740" spans="1:13">
      <c r="A740" t="str">
        <f ca="1">OFFSET($N$2,(ROW(740:740)-2)/35,0)</f>
        <v>重庆市</v>
      </c>
      <c r="B740">
        <f ca="1">OFFSET($O$1,0,MOD(ROW(740:740)-2,35))</f>
        <v>1993</v>
      </c>
      <c r="C740">
        <f ca="1" t="shared" si="121"/>
        <v>0.1170624</v>
      </c>
      <c r="D740">
        <f ca="1" t="shared" si="122"/>
        <v>2</v>
      </c>
      <c r="E740">
        <f ca="1" t="shared" si="123"/>
        <v>1</v>
      </c>
      <c r="F740">
        <f ca="1" t="shared" si="124"/>
        <v>0.22418230016</v>
      </c>
      <c r="G740">
        <f ca="1" t="shared" si="125"/>
        <v>0.026037019008</v>
      </c>
      <c r="H740">
        <f ca="1" t="shared" si="126"/>
        <v>0.26093794272</v>
      </c>
      <c r="I740">
        <f ca="1" t="shared" si="127"/>
        <v>567</v>
      </c>
      <c r="J740">
        <f ca="1" t="shared" si="128"/>
        <v>16</v>
      </c>
      <c r="K740">
        <f ca="1" t="shared" si="129"/>
        <v>11735</v>
      </c>
      <c r="L740">
        <f ca="1" t="shared" si="130"/>
        <v>1854</v>
      </c>
      <c r="M740">
        <f ca="1" t="shared" si="131"/>
        <v>0.009019825152</v>
      </c>
    </row>
    <row r="741" spans="1:13">
      <c r="A741" t="str">
        <f ca="1">OFFSET($N$2,(ROW(741:741)-2)/35,0)</f>
        <v>重庆市</v>
      </c>
      <c r="B741">
        <f ca="1">OFFSET($O$1,0,MOD(ROW(741:741)-2,35))</f>
        <v>1994</v>
      </c>
      <c r="C741">
        <f ca="1" t="shared" si="121"/>
        <v>0.12556152</v>
      </c>
      <c r="D741">
        <f ca="1" t="shared" si="122"/>
        <v>2</v>
      </c>
      <c r="E741">
        <f ca="1" t="shared" si="123"/>
        <v>1</v>
      </c>
      <c r="F741">
        <f ca="1" t="shared" si="124"/>
        <v>0.245330468544</v>
      </c>
      <c r="G741">
        <f ca="1" t="shared" si="125"/>
        <v>0.03037019265</v>
      </c>
      <c r="H741">
        <f ca="1" t="shared" si="126"/>
        <v>0.266655000024</v>
      </c>
      <c r="I741">
        <f ca="1" t="shared" si="127"/>
        <v>661</v>
      </c>
      <c r="J741">
        <f ca="1" t="shared" si="128"/>
        <v>25</v>
      </c>
      <c r="K741">
        <f ca="1" t="shared" si="129"/>
        <v>11857</v>
      </c>
      <c r="L741">
        <f ca="1" t="shared" si="130"/>
        <v>2184</v>
      </c>
      <c r="M741">
        <f ca="1" t="shared" si="131"/>
        <v>0.010011737484</v>
      </c>
    </row>
    <row r="742" spans="1:13">
      <c r="A742" t="str">
        <f ca="1">OFFSET($N$2,(ROW(742:742)-2)/35,0)</f>
        <v>重庆市</v>
      </c>
      <c r="B742">
        <f ca="1">OFFSET($O$1,0,MOD(ROW(742:742)-2,35))</f>
        <v>1995</v>
      </c>
      <c r="C742">
        <f ca="1" t="shared" si="121"/>
        <v>0.1286082</v>
      </c>
      <c r="D742">
        <f ca="1" t="shared" si="122"/>
        <v>3</v>
      </c>
      <c r="E742">
        <f ca="1" t="shared" si="123"/>
        <v>1</v>
      </c>
      <c r="F742">
        <f ca="1" t="shared" si="124"/>
        <v>0.22112893908</v>
      </c>
      <c r="G742">
        <f ca="1" t="shared" si="125"/>
        <v>0.027931128876</v>
      </c>
      <c r="H742">
        <f ca="1" t="shared" si="126"/>
        <v>0.28824955866</v>
      </c>
      <c r="I742">
        <f ca="1" t="shared" si="127"/>
        <v>749</v>
      </c>
      <c r="J742">
        <f ca="1" t="shared" si="128"/>
        <v>23</v>
      </c>
      <c r="K742">
        <f ca="1" t="shared" si="129"/>
        <v>11741</v>
      </c>
      <c r="L742">
        <f ca="1" t="shared" si="130"/>
        <v>1435</v>
      </c>
      <c r="M742">
        <f ca="1" t="shared" si="131"/>
        <v>0.009924327342</v>
      </c>
    </row>
    <row r="743" spans="1:13">
      <c r="A743" t="str">
        <f ca="1">OFFSET($N$2,(ROW(743:743)-2)/35,0)</f>
        <v>重庆市</v>
      </c>
      <c r="B743">
        <f ca="1">OFFSET($O$1,0,MOD(ROW(743:743)-2,35))</f>
        <v>1996</v>
      </c>
      <c r="C743">
        <f ca="1" t="shared" si="121"/>
        <v>0.13481664</v>
      </c>
      <c r="D743">
        <f ca="1" t="shared" si="122"/>
        <v>3</v>
      </c>
      <c r="E743">
        <f ca="1" t="shared" si="123"/>
        <v>1</v>
      </c>
      <c r="F743">
        <f ca="1" t="shared" si="124"/>
        <v>0.266721240576</v>
      </c>
      <c r="G743">
        <f ca="1" t="shared" si="125"/>
        <v>0.031826838288</v>
      </c>
      <c r="H743">
        <f ca="1" t="shared" si="126"/>
        <v>0.286208985888</v>
      </c>
      <c r="I743">
        <f ca="1" t="shared" si="127"/>
        <v>561</v>
      </c>
      <c r="J743">
        <f ca="1" t="shared" si="128"/>
        <v>22</v>
      </c>
      <c r="K743">
        <f ca="1" t="shared" si="129"/>
        <v>10893</v>
      </c>
      <c r="L743">
        <f ca="1" t="shared" si="130"/>
        <v>2217</v>
      </c>
      <c r="M743">
        <f ca="1" t="shared" si="131"/>
        <v>0.0102545388288</v>
      </c>
    </row>
    <row r="744" spans="1:13">
      <c r="A744" t="str">
        <f ca="1">OFFSET($N$2,(ROW(744:744)-2)/35,0)</f>
        <v>重庆市</v>
      </c>
      <c r="B744">
        <f ca="1">OFFSET($O$1,0,MOD(ROW(744:744)-2,35))</f>
        <v>1997</v>
      </c>
      <c r="C744">
        <f ca="1" t="shared" si="121"/>
        <v>0.14535612</v>
      </c>
      <c r="D744">
        <f ca="1" t="shared" si="122"/>
        <v>4</v>
      </c>
      <c r="E744">
        <f ca="1" t="shared" si="123"/>
        <v>1</v>
      </c>
      <c r="F744">
        <f ca="1" t="shared" si="124"/>
        <v>0.24584565096</v>
      </c>
      <c r="G744">
        <f ca="1" t="shared" si="125"/>
        <v>0.0340067910546</v>
      </c>
      <c r="H744">
        <f ca="1" t="shared" si="126"/>
        <v>0.293568487758</v>
      </c>
      <c r="I744">
        <f ca="1" t="shared" si="127"/>
        <v>841</v>
      </c>
      <c r="J744">
        <f ca="1" t="shared" si="128"/>
        <v>19</v>
      </c>
      <c r="K744">
        <f ca="1" t="shared" si="129"/>
        <v>13527</v>
      </c>
      <c r="L744">
        <f ca="1" t="shared" si="130"/>
        <v>1643</v>
      </c>
      <c r="M744">
        <f ca="1" t="shared" si="131"/>
        <v>0.0110144638188</v>
      </c>
    </row>
    <row r="745" spans="1:13">
      <c r="A745" t="str">
        <f ca="1">OFFSET($N$2,(ROW(745:745)-2)/35,0)</f>
        <v>重庆市</v>
      </c>
      <c r="B745">
        <f ca="1">OFFSET($O$1,0,MOD(ROW(745:745)-2,35))</f>
        <v>1998</v>
      </c>
      <c r="C745">
        <f ca="1" t="shared" si="121"/>
        <v>0.15491952</v>
      </c>
      <c r="D745">
        <f ca="1" t="shared" si="122"/>
        <v>4</v>
      </c>
      <c r="E745">
        <f ca="1" t="shared" si="123"/>
        <v>1</v>
      </c>
      <c r="F745">
        <f ca="1" t="shared" si="124"/>
        <v>0.297956712816</v>
      </c>
      <c r="G745">
        <f ca="1" t="shared" si="125"/>
        <v>0.0317631491856</v>
      </c>
      <c r="H745">
        <f ca="1" t="shared" si="126"/>
        <v>0.336748560624</v>
      </c>
      <c r="I745">
        <f ca="1" t="shared" si="127"/>
        <v>659</v>
      </c>
      <c r="J745">
        <f ca="1" t="shared" si="128"/>
        <v>16</v>
      </c>
      <c r="K745">
        <f ca="1" t="shared" si="129"/>
        <v>11383</v>
      </c>
      <c r="L745">
        <f ca="1" t="shared" si="130"/>
        <v>1645</v>
      </c>
      <c r="M745">
        <f ca="1" t="shared" si="131"/>
        <v>0.01228843764</v>
      </c>
    </row>
    <row r="746" spans="1:13">
      <c r="A746" t="str">
        <f ca="1">OFFSET($N$2,(ROW(746:746)-2)/35,0)</f>
        <v>重庆市</v>
      </c>
      <c r="B746">
        <f ca="1">OFFSET($O$1,0,MOD(ROW(746:746)-2,35))</f>
        <v>1999</v>
      </c>
      <c r="C746">
        <f ca="1" t="shared" si="121"/>
        <v>0.16635108</v>
      </c>
      <c r="D746">
        <f ca="1" t="shared" si="122"/>
        <v>4</v>
      </c>
      <c r="E746">
        <f ca="1" t="shared" si="123"/>
        <v>1</v>
      </c>
      <c r="F746">
        <f ca="1" t="shared" si="124"/>
        <v>0.321961425268</v>
      </c>
      <c r="G746">
        <f ca="1" t="shared" si="125"/>
        <v>0.0394526538882</v>
      </c>
      <c r="H746">
        <f ca="1" t="shared" si="126"/>
        <v>0.395932205508</v>
      </c>
      <c r="I746">
        <f ca="1" t="shared" si="127"/>
        <v>755</v>
      </c>
      <c r="J746">
        <f ca="1" t="shared" si="128"/>
        <v>21</v>
      </c>
      <c r="K746">
        <f ca="1" t="shared" si="129"/>
        <v>19249</v>
      </c>
      <c r="L746">
        <f ca="1" t="shared" si="130"/>
        <v>2723</v>
      </c>
      <c r="M746">
        <f ca="1" t="shared" si="131"/>
        <v>0.0134789527236</v>
      </c>
    </row>
    <row r="747" spans="1:13">
      <c r="A747" t="str">
        <f ca="1">OFFSET($N$2,(ROW(747:747)-2)/35,0)</f>
        <v>重庆市</v>
      </c>
      <c r="B747">
        <f ca="1">OFFSET($O$1,0,MOD(ROW(747:747)-2,35))</f>
        <v>2000</v>
      </c>
      <c r="C747">
        <f ca="1" t="shared" si="121"/>
        <v>0.1699152</v>
      </c>
      <c r="D747">
        <f ca="1" t="shared" si="122"/>
        <v>4</v>
      </c>
      <c r="E747">
        <f ca="1" t="shared" si="123"/>
        <v>1</v>
      </c>
      <c r="F747">
        <f ca="1" t="shared" si="124"/>
        <v>0.33098914576</v>
      </c>
      <c r="G747">
        <f ca="1" t="shared" si="125"/>
        <v>0.041279198688</v>
      </c>
      <c r="H747">
        <f ca="1" t="shared" si="126"/>
        <v>0.37924223064</v>
      </c>
      <c r="I747">
        <f ca="1" t="shared" si="127"/>
        <v>920</v>
      </c>
      <c r="J747">
        <f ca="1" t="shared" si="128"/>
        <v>32</v>
      </c>
      <c r="K747">
        <f ca="1" t="shared" si="129"/>
        <v>13424</v>
      </c>
      <c r="L747">
        <f ca="1" t="shared" si="130"/>
        <v>1753</v>
      </c>
      <c r="M747">
        <f ca="1" t="shared" si="131"/>
        <v>0.012249429504</v>
      </c>
    </row>
    <row r="748" spans="1:13">
      <c r="A748" t="str">
        <f ca="1">OFFSET($N$2,(ROW(748:748)-2)/35,0)</f>
        <v>重庆市</v>
      </c>
      <c r="B748">
        <f ca="1">OFFSET($O$1,0,MOD(ROW(748:748)-2,35))</f>
        <v>2001</v>
      </c>
      <c r="C748">
        <f ca="1" t="shared" si="121"/>
        <v>0.182133</v>
      </c>
      <c r="D748">
        <f ca="1" t="shared" si="122"/>
        <v>4</v>
      </c>
      <c r="E748">
        <f ca="1" t="shared" si="123"/>
        <v>1</v>
      </c>
      <c r="F748">
        <f ca="1" t="shared" si="124"/>
        <v>0.3095532468</v>
      </c>
      <c r="G748">
        <f ca="1" t="shared" si="125"/>
        <v>0.041345101665</v>
      </c>
      <c r="H748">
        <f ca="1" t="shared" si="126"/>
        <v>0.42255766665</v>
      </c>
      <c r="I748">
        <f ca="1" t="shared" si="127"/>
        <v>803</v>
      </c>
      <c r="J748">
        <f ca="1" t="shared" si="128"/>
        <v>19</v>
      </c>
      <c r="K748">
        <f ca="1" t="shared" si="129"/>
        <v>20930</v>
      </c>
      <c r="L748">
        <f ca="1" t="shared" si="130"/>
        <v>2698</v>
      </c>
      <c r="M748">
        <f ca="1" t="shared" si="131"/>
        <v>0.01320750459</v>
      </c>
    </row>
    <row r="749" spans="1:13">
      <c r="A749" t="str">
        <f ca="1">OFFSET($N$2,(ROW(749:749)-2)/35,0)</f>
        <v>重庆市</v>
      </c>
      <c r="B749">
        <f ca="1">OFFSET($O$1,0,MOD(ROW(749:749)-2,35))</f>
        <v>2002</v>
      </c>
      <c r="C749">
        <f ca="1" t="shared" si="121"/>
        <v>0.18777528</v>
      </c>
      <c r="D749">
        <f ca="1" t="shared" si="122"/>
        <v>4</v>
      </c>
      <c r="E749">
        <f ca="1" t="shared" si="123"/>
        <v>1</v>
      </c>
      <c r="F749">
        <f ca="1" t="shared" si="124"/>
        <v>0.339140933208</v>
      </c>
      <c r="G749">
        <f ca="1" t="shared" si="125"/>
        <v>0.0467109786528</v>
      </c>
      <c r="H749">
        <f ca="1" t="shared" si="126"/>
        <v>0.376470658872</v>
      </c>
      <c r="I749">
        <f ca="1" t="shared" si="127"/>
        <v>857</v>
      </c>
      <c r="J749">
        <f ca="1" t="shared" si="128"/>
        <v>28</v>
      </c>
      <c r="K749">
        <f ca="1" t="shared" si="129"/>
        <v>16415</v>
      </c>
      <c r="L749">
        <f ca="1" t="shared" si="130"/>
        <v>3174</v>
      </c>
      <c r="M749">
        <f ca="1" t="shared" si="131"/>
        <v>0.0135013108824</v>
      </c>
    </row>
    <row r="750" spans="1:13">
      <c r="A750" t="str">
        <f ca="1">OFFSET($N$2,(ROW(750:750)-2)/35,0)</f>
        <v>重庆市</v>
      </c>
      <c r="B750">
        <f ca="1">OFFSET($O$1,0,MOD(ROW(750:750)-2,35))</f>
        <v>2003</v>
      </c>
      <c r="C750">
        <f ca="1" t="shared" si="121"/>
        <v>0.19980744</v>
      </c>
      <c r="D750">
        <f ca="1" t="shared" si="122"/>
        <v>5</v>
      </c>
      <c r="E750">
        <f ca="1" t="shared" si="123"/>
        <v>2</v>
      </c>
      <c r="F750">
        <f ca="1" t="shared" si="124"/>
        <v>0.38939139932</v>
      </c>
      <c r="G750">
        <f ca="1" t="shared" si="125"/>
        <v>0.0448957327308</v>
      </c>
      <c r="H750">
        <f ca="1" t="shared" si="126"/>
        <v>0.445131014832</v>
      </c>
      <c r="I750">
        <f ca="1" t="shared" si="127"/>
        <v>917</v>
      </c>
      <c r="J750">
        <f ca="1" t="shared" si="128"/>
        <v>22</v>
      </c>
      <c r="K750">
        <f ca="1" t="shared" si="129"/>
        <v>12101</v>
      </c>
      <c r="L750">
        <f ca="1" t="shared" si="130"/>
        <v>3499</v>
      </c>
      <c r="M750">
        <f ca="1" t="shared" si="131"/>
        <v>0.0161761249032</v>
      </c>
    </row>
    <row r="751" spans="1:13">
      <c r="A751" t="str">
        <f ca="1">OFFSET($N$2,(ROW(751:751)-2)/35,0)</f>
        <v>重庆市</v>
      </c>
      <c r="B751">
        <f ca="1">OFFSET($O$1,0,MOD(ROW(751:751)-2,35))</f>
        <v>2004</v>
      </c>
      <c r="C751">
        <f ca="1" t="shared" si="121"/>
        <v>0.20383776</v>
      </c>
      <c r="D751">
        <f ca="1" t="shared" si="122"/>
        <v>5</v>
      </c>
      <c r="E751">
        <f ca="1" t="shared" si="123"/>
        <v>2</v>
      </c>
      <c r="F751">
        <f ca="1" t="shared" si="124"/>
        <v>0.362926337088</v>
      </c>
      <c r="G751">
        <f ca="1" t="shared" si="125"/>
        <v>0.0490494801888</v>
      </c>
      <c r="H751">
        <f ca="1" t="shared" si="126"/>
        <v>0.465035465664</v>
      </c>
      <c r="I751">
        <f ca="1" t="shared" si="127"/>
        <v>1067</v>
      </c>
      <c r="J751">
        <f ca="1" t="shared" si="128"/>
        <v>27</v>
      </c>
      <c r="K751">
        <f ca="1" t="shared" si="129"/>
        <v>17416</v>
      </c>
      <c r="L751">
        <f ca="1" t="shared" si="130"/>
        <v>3683</v>
      </c>
      <c r="M751">
        <f ca="1" t="shared" si="131"/>
        <v>0.0155050648128</v>
      </c>
    </row>
    <row r="752" spans="1:13">
      <c r="A752" t="str">
        <f ca="1">OFFSET($N$2,(ROW(752:752)-2)/35,0)</f>
        <v>重庆市</v>
      </c>
      <c r="B752">
        <f ca="1">OFFSET($O$1,0,MOD(ROW(752:752)-2,35))</f>
        <v>2005</v>
      </c>
      <c r="C752">
        <f ca="1" t="shared" si="121"/>
        <v>0.21</v>
      </c>
      <c r="D752">
        <f ca="1" t="shared" si="122"/>
        <v>6</v>
      </c>
      <c r="E752">
        <f ca="1" t="shared" si="123"/>
        <v>2</v>
      </c>
      <c r="F752">
        <f ca="1" t="shared" si="124"/>
        <v>0.408639</v>
      </c>
      <c r="G752">
        <f ca="1" t="shared" si="125"/>
        <v>0.0513303</v>
      </c>
      <c r="H752">
        <f ca="1" t="shared" si="126"/>
        <v>0.4542825</v>
      </c>
      <c r="I752">
        <f ca="1" t="shared" si="127"/>
        <v>1179</v>
      </c>
      <c r="J752">
        <f ca="1" t="shared" si="128"/>
        <v>29</v>
      </c>
      <c r="K752">
        <f ca="1" t="shared" si="129"/>
        <v>21594</v>
      </c>
      <c r="L752">
        <f ca="1" t="shared" si="130"/>
        <v>3962</v>
      </c>
      <c r="M752">
        <f ca="1" t="shared" si="131"/>
        <v>0.0154827</v>
      </c>
    </row>
    <row r="753" spans="1:13">
      <c r="A753" t="str">
        <f ca="1">OFFSET($N$2,(ROW(753:753)-2)/35,0)</f>
        <v>重庆市</v>
      </c>
      <c r="B753">
        <f ca="1">OFFSET($O$1,0,MOD(ROW(753:753)-2,35))</f>
        <v>2006</v>
      </c>
      <c r="C753">
        <f ca="1" t="shared" si="121"/>
        <v>0.23536968</v>
      </c>
      <c r="D753">
        <f ca="1" t="shared" si="122"/>
        <v>6</v>
      </c>
      <c r="E753">
        <f ca="1" t="shared" si="123"/>
        <v>2</v>
      </c>
      <c r="F753">
        <f ca="1" t="shared" si="124"/>
        <v>0.418314686608</v>
      </c>
      <c r="G753">
        <f ca="1" t="shared" si="125"/>
        <v>0.0488427391452</v>
      </c>
      <c r="H753">
        <f ca="1" t="shared" si="126"/>
        <v>0.4848615408</v>
      </c>
      <c r="I753">
        <f ca="1" t="shared" si="127"/>
        <v>1335</v>
      </c>
      <c r="J753">
        <f ca="1" t="shared" si="128"/>
        <v>42</v>
      </c>
      <c r="K753">
        <f ca="1" t="shared" si="129"/>
        <v>16469</v>
      </c>
      <c r="L753">
        <f ca="1" t="shared" si="130"/>
        <v>3649</v>
      </c>
      <c r="M753">
        <f ca="1" t="shared" si="131"/>
        <v>0.0169335035064</v>
      </c>
    </row>
    <row r="754" spans="1:13">
      <c r="A754" t="str">
        <f ca="1">OFFSET($N$2,(ROW(754:754)-2)/35,0)</f>
        <v>重庆市</v>
      </c>
      <c r="B754">
        <f ca="1">OFFSET($O$1,0,MOD(ROW(754:754)-2,35))</f>
        <v>2007</v>
      </c>
      <c r="C754">
        <f ca="1" t="shared" si="121"/>
        <v>0.24916248</v>
      </c>
      <c r="D754">
        <f ca="1" t="shared" si="122"/>
        <v>6</v>
      </c>
      <c r="E754">
        <f ca="1" t="shared" si="123"/>
        <v>2</v>
      </c>
      <c r="F754">
        <f ca="1" t="shared" si="124"/>
        <v>0.494197168248</v>
      </c>
      <c r="G754">
        <f ca="1" t="shared" si="125"/>
        <v>0.0568538946864</v>
      </c>
      <c r="H754">
        <f ca="1" t="shared" si="126"/>
        <v>0.5332077072</v>
      </c>
      <c r="I754">
        <f ca="1" t="shared" si="127"/>
        <v>1354</v>
      </c>
      <c r="J754">
        <f ca="1" t="shared" si="128"/>
        <v>36</v>
      </c>
      <c r="K754">
        <f ca="1" t="shared" si="129"/>
        <v>29182</v>
      </c>
      <c r="L754">
        <f ca="1" t="shared" si="130"/>
        <v>4825</v>
      </c>
      <c r="M754">
        <f ca="1" t="shared" si="131"/>
        <v>0.0186366416112</v>
      </c>
    </row>
    <row r="755" spans="1:13">
      <c r="A755" t="str">
        <f ca="1">OFFSET($N$2,(ROW(755:755)-2)/35,0)</f>
        <v>重庆市</v>
      </c>
      <c r="B755">
        <f ca="1">OFFSET($O$1,0,MOD(ROW(755:755)-2,35))</f>
        <v>2008</v>
      </c>
      <c r="C755">
        <f ca="1" t="shared" si="121"/>
        <v>0.24726576</v>
      </c>
      <c r="D755">
        <f ca="1" t="shared" si="122"/>
        <v>6</v>
      </c>
      <c r="E755">
        <f ca="1" t="shared" si="123"/>
        <v>2</v>
      </c>
      <c r="F755">
        <f ca="1" t="shared" si="124"/>
        <v>0.471675921584</v>
      </c>
      <c r="G755">
        <f ca="1" t="shared" si="125"/>
        <v>0.0616853891472</v>
      </c>
      <c r="H755">
        <f ca="1" t="shared" si="126"/>
        <v>0.545492993136</v>
      </c>
      <c r="I755">
        <f ca="1" t="shared" si="127"/>
        <v>1019</v>
      </c>
      <c r="J755">
        <f ca="1" t="shared" si="128"/>
        <v>33</v>
      </c>
      <c r="K755">
        <f ca="1" t="shared" si="129"/>
        <v>22502</v>
      </c>
      <c r="L755">
        <f ca="1" t="shared" si="130"/>
        <v>4550</v>
      </c>
      <c r="M755">
        <f ca="1" t="shared" si="131"/>
        <v>0.0207148656624</v>
      </c>
    </row>
    <row r="756" spans="1:13">
      <c r="A756" t="str">
        <f ca="1">OFFSET($N$2,(ROW(756:756)-2)/35,0)</f>
        <v>重庆市</v>
      </c>
      <c r="B756">
        <f ca="1">OFFSET($O$1,0,MOD(ROW(756:756)-2,35))</f>
        <v>2009</v>
      </c>
      <c r="C756">
        <f ca="1" t="shared" si="121"/>
        <v>0.265524</v>
      </c>
      <c r="D756">
        <f ca="1" t="shared" si="122"/>
        <v>6</v>
      </c>
      <c r="E756">
        <f ca="1" t="shared" si="123"/>
        <v>2</v>
      </c>
      <c r="F756">
        <f ca="1" t="shared" si="124"/>
        <v>0.5115231352</v>
      </c>
      <c r="G756">
        <f ca="1" t="shared" si="125"/>
        <v>0.06304469094</v>
      </c>
      <c r="H756">
        <f ca="1" t="shared" si="126"/>
        <v>0.5553699984</v>
      </c>
      <c r="I756">
        <f ca="1" t="shared" si="127"/>
        <v>1276</v>
      </c>
      <c r="J756">
        <f ca="1" t="shared" si="128"/>
        <v>38</v>
      </c>
      <c r="K756">
        <f ca="1" t="shared" si="129"/>
        <v>22777</v>
      </c>
      <c r="L756">
        <f ca="1" t="shared" si="130"/>
        <v>2894</v>
      </c>
      <c r="M756">
        <f ca="1" t="shared" si="131"/>
        <v>0.02023406676</v>
      </c>
    </row>
    <row r="757" spans="1:13">
      <c r="A757" t="str">
        <f ca="1">OFFSET($N$2,(ROW(757:757)-2)/35,0)</f>
        <v>重庆市</v>
      </c>
      <c r="B757">
        <f ca="1">OFFSET($O$1,0,MOD(ROW(757:757)-2,35))</f>
        <v>2010</v>
      </c>
      <c r="C757">
        <f ca="1" t="shared" si="121"/>
        <v>0.266868</v>
      </c>
      <c r="D757">
        <f ca="1" t="shared" si="122"/>
        <v>7</v>
      </c>
      <c r="E757">
        <f ca="1" t="shared" si="123"/>
        <v>2</v>
      </c>
      <c r="F757">
        <f ca="1" t="shared" si="124"/>
        <v>0.4781918736</v>
      </c>
      <c r="G757">
        <f ca="1" t="shared" si="125"/>
        <v>0.06353593344</v>
      </c>
      <c r="H757">
        <f ca="1" t="shared" si="126"/>
        <v>0.6444728766</v>
      </c>
      <c r="I757">
        <f ca="1" t="shared" si="127"/>
        <v>1306</v>
      </c>
      <c r="J757">
        <f ca="1" t="shared" si="128"/>
        <v>41</v>
      </c>
      <c r="K757">
        <f ca="1" t="shared" si="129"/>
        <v>23218</v>
      </c>
      <c r="L757">
        <f ca="1" t="shared" si="130"/>
        <v>4004</v>
      </c>
      <c r="M757">
        <f ca="1" t="shared" si="131"/>
        <v>0.02261172564</v>
      </c>
    </row>
    <row r="758" spans="1:13">
      <c r="A758" t="str">
        <f ca="1">OFFSET($N$2,(ROW(758:758)-2)/35,0)</f>
        <v>重庆市</v>
      </c>
      <c r="B758">
        <f ca="1">OFFSET($O$1,0,MOD(ROW(758:758)-2,35))</f>
        <v>2011</v>
      </c>
      <c r="C758">
        <f ca="1" t="shared" si="121"/>
        <v>0.26974836</v>
      </c>
      <c r="D758">
        <f ca="1" t="shared" si="122"/>
        <v>7</v>
      </c>
      <c r="E758">
        <f ca="1" t="shared" si="123"/>
        <v>2</v>
      </c>
      <c r="F758">
        <f ca="1" t="shared" si="124"/>
        <v>0.53041519188</v>
      </c>
      <c r="G758">
        <f ca="1" t="shared" si="125"/>
        <v>0.0548034255594</v>
      </c>
      <c r="H758">
        <f ca="1" t="shared" si="126"/>
        <v>0.596494548468</v>
      </c>
      <c r="I758">
        <f ca="1" t="shared" si="127"/>
        <v>1219</v>
      </c>
      <c r="J758">
        <f ca="1" t="shared" si="128"/>
        <v>33</v>
      </c>
      <c r="K758">
        <f ca="1" t="shared" si="129"/>
        <v>30751</v>
      </c>
      <c r="L758">
        <f ca="1" t="shared" si="130"/>
        <v>3944</v>
      </c>
      <c r="M758">
        <f ca="1" t="shared" si="131"/>
        <v>0.0215906587344</v>
      </c>
    </row>
    <row r="759" spans="1:13">
      <c r="A759" t="str">
        <f ca="1">OFFSET($N$2,(ROW(759:759)-2)/35,0)</f>
        <v>重庆市</v>
      </c>
      <c r="B759">
        <f ca="1">OFFSET($O$1,0,MOD(ROW(759:759)-2,35))</f>
        <v>2012</v>
      </c>
      <c r="C759">
        <f ca="1" t="shared" si="121"/>
        <v>0.2825088</v>
      </c>
      <c r="D759">
        <f ca="1" t="shared" si="122"/>
        <v>7</v>
      </c>
      <c r="E759">
        <f ca="1" t="shared" si="123"/>
        <v>2</v>
      </c>
      <c r="F759">
        <f ca="1" t="shared" si="124"/>
        <v>0.52679415936</v>
      </c>
      <c r="G759">
        <f ca="1" t="shared" si="125"/>
        <v>0.063955754688</v>
      </c>
      <c r="H759">
        <f ca="1" t="shared" si="126"/>
        <v>0.68167960896</v>
      </c>
      <c r="I759">
        <f ca="1" t="shared" si="127"/>
        <v>1681</v>
      </c>
      <c r="J759">
        <f ca="1" t="shared" si="128"/>
        <v>53</v>
      </c>
      <c r="K759">
        <f ca="1" t="shared" si="129"/>
        <v>32908</v>
      </c>
      <c r="L759">
        <f ca="1" t="shared" si="130"/>
        <v>4110</v>
      </c>
      <c r="M759">
        <f ca="1" t="shared" si="131"/>
        <v>0.022555502592</v>
      </c>
    </row>
    <row r="760" spans="1:13">
      <c r="A760" t="str">
        <f ca="1">OFFSET($N$2,(ROW(760:760)-2)/35,0)</f>
        <v>重庆市</v>
      </c>
      <c r="B760">
        <f ca="1">OFFSET($O$1,0,MOD(ROW(760:760)-2,35))</f>
        <v>2013</v>
      </c>
      <c r="C760">
        <f ca="1" t="shared" si="121"/>
        <v>0.29543976</v>
      </c>
      <c r="D760">
        <f ca="1" t="shared" si="122"/>
        <v>8</v>
      </c>
      <c r="E760">
        <f ca="1" t="shared" si="123"/>
        <v>2</v>
      </c>
      <c r="F760">
        <f ca="1" t="shared" si="124"/>
        <v>0.544072014024</v>
      </c>
      <c r="G760">
        <f ca="1" t="shared" si="125"/>
        <v>0.0696144706488</v>
      </c>
      <c r="H760">
        <f ca="1" t="shared" si="126"/>
        <v>0.599860888704</v>
      </c>
      <c r="I760">
        <f ca="1" t="shared" si="127"/>
        <v>1235</v>
      </c>
      <c r="J760">
        <f ca="1" t="shared" si="128"/>
        <v>39</v>
      </c>
      <c r="K760">
        <f ca="1" t="shared" si="129"/>
        <v>28366</v>
      </c>
      <c r="L760">
        <f ca="1" t="shared" si="130"/>
        <v>5376</v>
      </c>
      <c r="M760">
        <f ca="1" t="shared" si="131"/>
        <v>0.0225386772336</v>
      </c>
    </row>
    <row r="761" spans="1:13">
      <c r="A761" t="str">
        <f ca="1">OFFSET($N$2,(ROW(761:761)-2)/35,0)</f>
        <v>重庆市</v>
      </c>
      <c r="B761">
        <f ca="1">OFFSET($O$1,0,MOD(ROW(761:761)-2,35))</f>
        <v>2014</v>
      </c>
      <c r="C761">
        <f ca="1" t="shared" si="121"/>
        <v>0.28677096</v>
      </c>
      <c r="D761">
        <f ca="1" t="shared" si="122"/>
        <v>8</v>
      </c>
      <c r="E761">
        <f ca="1" t="shared" si="123"/>
        <v>2</v>
      </c>
      <c r="F761">
        <f ca="1" t="shared" si="124"/>
        <v>0.479825170272</v>
      </c>
      <c r="G761">
        <f ca="1" t="shared" si="125"/>
        <v>0.0687433006764</v>
      </c>
      <c r="H761">
        <f ca="1" t="shared" si="126"/>
        <v>0.702043987176</v>
      </c>
      <c r="I761">
        <f ca="1" t="shared" si="127"/>
        <v>1697</v>
      </c>
      <c r="J761">
        <f ca="1" t="shared" si="128"/>
        <v>39</v>
      </c>
      <c r="K761">
        <f ca="1" t="shared" si="129"/>
        <v>17867</v>
      </c>
      <c r="L761">
        <f ca="1" t="shared" si="130"/>
        <v>4751</v>
      </c>
      <c r="M761">
        <f ca="1" t="shared" si="131"/>
        <v>0.0210637366848</v>
      </c>
    </row>
    <row r="762" spans="1:13">
      <c r="A762" t="str">
        <f ca="1">OFFSET($N$2,(ROW(762:762)-2)/35,0)</f>
        <v>重庆市</v>
      </c>
      <c r="B762">
        <f ca="1">OFFSET($O$1,0,MOD(ROW(762:762)-2,35))</f>
        <v>2015</v>
      </c>
      <c r="C762">
        <f ca="1" t="shared" si="121"/>
        <v>0.3118458</v>
      </c>
      <c r="D762">
        <f ca="1" t="shared" si="122"/>
        <v>8</v>
      </c>
      <c r="E762">
        <f ca="1" t="shared" si="123"/>
        <v>2</v>
      </c>
      <c r="F762">
        <f ca="1" t="shared" si="124"/>
        <v>0.59366084946</v>
      </c>
      <c r="G762">
        <f ca="1" t="shared" si="125"/>
        <v>0.064029738885</v>
      </c>
      <c r="H762">
        <f ca="1" t="shared" si="126"/>
        <v>0.74481250872</v>
      </c>
      <c r="I762">
        <f ca="1" t="shared" si="127"/>
        <v>1804</v>
      </c>
      <c r="J762">
        <f ca="1" t="shared" si="128"/>
        <v>71</v>
      </c>
      <c r="K762">
        <f ca="1" t="shared" si="129"/>
        <v>36499</v>
      </c>
      <c r="L762">
        <f ca="1" t="shared" si="130"/>
        <v>4823</v>
      </c>
      <c r="M762">
        <f ca="1" t="shared" si="131"/>
        <v>0.025337025756</v>
      </c>
    </row>
    <row r="763" spans="1:13">
      <c r="A763" t="str">
        <f ca="1">OFFSET($N$2,(ROW(763:763)-2)/35,0)</f>
        <v>重庆市</v>
      </c>
      <c r="B763">
        <f ca="1">OFFSET($O$1,0,MOD(ROW(763:763)-2,35))</f>
        <v>2016</v>
      </c>
      <c r="C763">
        <f ca="1" t="shared" si="121"/>
        <v>0.30252096</v>
      </c>
      <c r="D763">
        <f ca="1" t="shared" si="122"/>
        <v>8</v>
      </c>
      <c r="E763">
        <f ca="1" t="shared" si="123"/>
        <v>2</v>
      </c>
      <c r="F763">
        <f ca="1" t="shared" si="124"/>
        <v>0.550910836224</v>
      </c>
      <c r="G763">
        <f ca="1" t="shared" si="125"/>
        <v>0.068203350432</v>
      </c>
      <c r="H763">
        <f ca="1" t="shared" si="126"/>
        <v>0.688492326816</v>
      </c>
      <c r="I763">
        <f ca="1" t="shared" si="127"/>
        <v>1811</v>
      </c>
      <c r="J763">
        <f ca="1" t="shared" si="128"/>
        <v>72</v>
      </c>
      <c r="K763">
        <f ca="1" t="shared" si="129"/>
        <v>28468</v>
      </c>
      <c r="L763">
        <f ca="1" t="shared" si="130"/>
        <v>4269</v>
      </c>
      <c r="M763">
        <f ca="1" t="shared" si="131"/>
        <v>0.0234548822016</v>
      </c>
    </row>
    <row r="764" spans="1:13">
      <c r="A764" t="str">
        <f ca="1">OFFSET($N$2,(ROW(764:764)-2)/35,0)</f>
        <v>重庆市</v>
      </c>
      <c r="B764">
        <f ca="1">OFFSET($O$1,0,MOD(ROW(764:764)-2,35))</f>
        <v>2017</v>
      </c>
      <c r="C764">
        <f ca="1" t="shared" si="121"/>
        <v>0.33264924</v>
      </c>
      <c r="D764">
        <f ca="1" t="shared" si="122"/>
        <v>8</v>
      </c>
      <c r="E764">
        <f ca="1" t="shared" si="123"/>
        <v>2</v>
      </c>
      <c r="F764">
        <f ca="1" t="shared" si="124"/>
        <v>0.603458986284</v>
      </c>
      <c r="G764">
        <f ca="1" t="shared" si="125"/>
        <v>0.0805626561894</v>
      </c>
      <c r="H764">
        <f ca="1" t="shared" si="126"/>
        <v>0.743687273406</v>
      </c>
      <c r="I764">
        <f ca="1" t="shared" si="127"/>
        <v>1563</v>
      </c>
      <c r="J764">
        <f ca="1" t="shared" si="128"/>
        <v>76</v>
      </c>
      <c r="K764">
        <f ca="1" t="shared" si="129"/>
        <v>39708</v>
      </c>
      <c r="L764">
        <f ca="1" t="shared" si="130"/>
        <v>4015</v>
      </c>
      <c r="M764">
        <f ca="1" t="shared" si="131"/>
        <v>0.026295922422</v>
      </c>
    </row>
    <row r="765" spans="1:13">
      <c r="A765" t="str">
        <f ca="1">OFFSET($N$2,(ROW(765:765)-2)/35,0)</f>
        <v>重庆市</v>
      </c>
      <c r="B765">
        <f ca="1">OFFSET($O$1,0,MOD(ROW(765:765)-2,35))</f>
        <v>2018</v>
      </c>
      <c r="C765">
        <f ca="1" t="shared" si="121"/>
        <v>0.3322872</v>
      </c>
      <c r="D765">
        <f ca="1" t="shared" si="122"/>
        <v>8</v>
      </c>
      <c r="E765">
        <f ca="1" t="shared" si="123"/>
        <v>2</v>
      </c>
      <c r="F765">
        <f ca="1" t="shared" si="124"/>
        <v>0.61473132</v>
      </c>
      <c r="G765">
        <f ca="1" t="shared" si="125"/>
        <v>0.079202315556</v>
      </c>
      <c r="H765">
        <f ca="1" t="shared" si="126"/>
        <v>0.7677495756</v>
      </c>
      <c r="I765">
        <f ca="1" t="shared" si="127"/>
        <v>1402</v>
      </c>
      <c r="J765">
        <f ca="1" t="shared" si="128"/>
        <v>195</v>
      </c>
      <c r="K765">
        <f ca="1" t="shared" si="129"/>
        <v>21718</v>
      </c>
      <c r="L765">
        <f ca="1" t="shared" si="130"/>
        <v>4901</v>
      </c>
      <c r="M765">
        <f ca="1" t="shared" si="131"/>
        <v>0.024628652568</v>
      </c>
    </row>
    <row r="766" spans="1:13">
      <c r="A766" t="str">
        <f ca="1">OFFSET($N$2,(ROW(766:766)-2)/35,0)</f>
        <v>重庆市</v>
      </c>
      <c r="B766">
        <f ca="1">OFFSET($O$1,0,MOD(ROW(766:766)-2,35))</f>
        <v>2019</v>
      </c>
      <c r="C766">
        <f ca="1" t="shared" si="121"/>
        <v>0.35393904</v>
      </c>
      <c r="D766">
        <f ca="1" t="shared" si="122"/>
        <v>8</v>
      </c>
      <c r="E766">
        <f ca="1" t="shared" si="123"/>
        <v>2</v>
      </c>
      <c r="F766">
        <f ca="1" t="shared" si="124"/>
        <v>0.702958327344</v>
      </c>
      <c r="G766">
        <f ca="1" t="shared" si="125"/>
        <v>0.0765676325232</v>
      </c>
      <c r="H766">
        <f ca="1" t="shared" si="126"/>
        <v>0.713204862552</v>
      </c>
      <c r="I766">
        <f ca="1" t="shared" si="127"/>
        <v>2046</v>
      </c>
      <c r="J766">
        <f ca="1" t="shared" si="128"/>
        <v>218</v>
      </c>
      <c r="K766">
        <f ca="1" t="shared" si="129"/>
        <v>28342</v>
      </c>
      <c r="L766">
        <f ca="1" t="shared" si="130"/>
        <v>5494</v>
      </c>
      <c r="M766">
        <f ca="1" t="shared" si="131"/>
        <v>0.0293395239072</v>
      </c>
    </row>
    <row r="767" spans="1:13">
      <c r="A767" t="str">
        <f ca="1">OFFSET($N$2,(ROW(767:767)-2)/35,0)</f>
        <v>重庆市</v>
      </c>
      <c r="B767">
        <f ca="1">OFFSET($O$1,0,MOD(ROW(767:767)-2,35))</f>
        <v>2020</v>
      </c>
      <c r="C767">
        <f ca="1" t="shared" si="121"/>
        <v>0.356328</v>
      </c>
      <c r="D767">
        <f ca="1" t="shared" si="122"/>
        <v>8</v>
      </c>
      <c r="E767">
        <f ca="1" t="shared" si="123"/>
        <v>2</v>
      </c>
      <c r="F767">
        <f ca="1" t="shared" si="124"/>
        <v>0.6987948408</v>
      </c>
      <c r="G767">
        <f ca="1" t="shared" si="125"/>
        <v>0.0874517994</v>
      </c>
      <c r="H767">
        <f ca="1" t="shared" si="126"/>
        <v>0.7806968316</v>
      </c>
      <c r="I767">
        <f ca="1" t="shared" si="127"/>
        <v>1562</v>
      </c>
      <c r="J767">
        <f ca="1" t="shared" si="128"/>
        <v>303</v>
      </c>
      <c r="K767">
        <f ca="1" t="shared" si="129"/>
        <v>27366</v>
      </c>
      <c r="L767">
        <f ca="1" t="shared" si="130"/>
        <v>6442</v>
      </c>
      <c r="M767">
        <f ca="1" t="shared" si="131"/>
        <v>0.0284604264</v>
      </c>
    </row>
    <row r="768" spans="1:13">
      <c r="A768" t="str">
        <f ca="1">OFFSET($N$2,(ROW(768:768)-2)/35,0)</f>
        <v>重庆市</v>
      </c>
      <c r="B768">
        <f ca="1">OFFSET($O$1,0,MOD(ROW(768:768)-2,35))</f>
        <v>2021</v>
      </c>
      <c r="C768">
        <f ca="1" t="shared" si="121"/>
        <v>0.37450056</v>
      </c>
      <c r="D768">
        <f ca="1" t="shared" si="122"/>
        <v>8</v>
      </c>
      <c r="E768">
        <f ca="1" t="shared" si="123"/>
        <v>3</v>
      </c>
      <c r="F768">
        <f ca="1" t="shared" si="124"/>
        <v>0.652741992728</v>
      </c>
      <c r="G768">
        <f ca="1" t="shared" si="125"/>
        <v>0.083766412758</v>
      </c>
      <c r="H768">
        <f ca="1" t="shared" si="126"/>
        <v>0.842551359888</v>
      </c>
      <c r="I768">
        <f ca="1" t="shared" si="127"/>
        <v>1573</v>
      </c>
      <c r="J768">
        <f ca="1" t="shared" si="128"/>
        <v>299</v>
      </c>
      <c r="K768">
        <f ca="1" t="shared" si="129"/>
        <v>31449</v>
      </c>
      <c r="L768">
        <f ca="1" t="shared" si="130"/>
        <v>4566</v>
      </c>
      <c r="M768">
        <f ca="1" t="shared" si="131"/>
        <v>0.0311226015384</v>
      </c>
    </row>
    <row r="769" spans="1:13">
      <c r="A769" t="str">
        <f ca="1">OFFSET($N$2,(ROW(769:769)-2)/35,0)</f>
        <v>重庆市</v>
      </c>
      <c r="B769">
        <f ca="1">OFFSET($O$1,0,MOD(ROW(769:769)-2,35))</f>
        <v>2022</v>
      </c>
      <c r="C769">
        <f ca="1" t="shared" si="121"/>
        <v>0.37199232</v>
      </c>
      <c r="D769">
        <f ca="1" t="shared" si="122"/>
        <v>8</v>
      </c>
      <c r="E769">
        <f ca="1" t="shared" si="123"/>
        <v>3</v>
      </c>
      <c r="F769">
        <f ca="1" t="shared" si="124"/>
        <v>0.684738663168</v>
      </c>
      <c r="G769">
        <f ca="1" t="shared" si="125"/>
        <v>0.0746941978944</v>
      </c>
      <c r="H769">
        <f ca="1" t="shared" si="126"/>
        <v>0.858167682624</v>
      </c>
      <c r="I769">
        <f ca="1" t="shared" si="127"/>
        <v>1786</v>
      </c>
      <c r="J769">
        <f ca="1" t="shared" si="128"/>
        <v>328</v>
      </c>
      <c r="K769">
        <f ca="1" t="shared" si="129"/>
        <v>30352</v>
      </c>
      <c r="L769">
        <f ca="1" t="shared" si="130"/>
        <v>4350</v>
      </c>
      <c r="M769">
        <f ca="1" t="shared" si="131"/>
        <v>0.02857698144</v>
      </c>
    </row>
    <row r="770" spans="1:13">
      <c r="A770" t="str">
        <f ca="1">OFFSET($N$2,(ROW(770:770)-2)/35,0)</f>
        <v>重庆市</v>
      </c>
      <c r="B770">
        <f ca="1">OFFSET($O$1,0,MOD(ROW(770:770)-2,35))</f>
        <v>2023</v>
      </c>
      <c r="C770">
        <f ca="1" t="shared" si="121"/>
        <v>0.37214436</v>
      </c>
      <c r="D770">
        <f ca="1" t="shared" si="122"/>
        <v>9</v>
      </c>
      <c r="E770">
        <f ca="1" t="shared" si="123"/>
        <v>3</v>
      </c>
      <c r="F770">
        <f ca="1" t="shared" si="124"/>
        <v>0.644318340092</v>
      </c>
      <c r="G770">
        <f ca="1" t="shared" si="125"/>
        <v>0.0849940503804</v>
      </c>
      <c r="H770">
        <f ca="1" t="shared" si="126"/>
        <v>0.855727348602</v>
      </c>
      <c r="I770">
        <f ca="1" t="shared" si="127"/>
        <v>1612</v>
      </c>
      <c r="J770">
        <f ca="1" t="shared" si="128"/>
        <v>211</v>
      </c>
      <c r="K770">
        <f ca="1" t="shared" si="129"/>
        <v>38700</v>
      </c>
      <c r="L770">
        <f ca="1" t="shared" si="130"/>
        <v>6834</v>
      </c>
      <c r="M770">
        <f ca="1" t="shared" si="131"/>
        <v>0.0294142902144</v>
      </c>
    </row>
    <row r="771" spans="1:13">
      <c r="A771" t="str">
        <f ca="1">OFFSET($N$2,(ROW(771:771)-2)/35,0)</f>
        <v>重庆市</v>
      </c>
      <c r="B771">
        <f ca="1">OFFSET($O$1,0,MOD(ROW(771:771)-2,35))</f>
        <v>2024</v>
      </c>
      <c r="C771">
        <f ca="1" t="shared" ref="C771:C834" si="132">IF(OR(A771="北京市",A771="上海市",A771="广东省"),(B771-1980)*RANDBETWEEN(15000,16000)/500000,IF(OR(A771="西藏自治区",A771="新疆维吾尔自治区",A771="青海省",A771="广西壮族自治区",A771="内蒙古自治区",A771="宁夏回族自治区",A771="贵州省",A771="甘肃省",A771="陕西省",A771="云南省"),(B771-1980)*RANDBETWEEN(7000,8000)/500000,IF(OR(A771="浙江省",A771="江苏省",A771="山东省",A771="辽宁省"),(B771-1980)*RANDBETWEEN(13000,14000)/500000,(B771-1980)*RANDBETWEEN(10000,11000)/500000)))*0.42</f>
        <v>0.3997224</v>
      </c>
      <c r="D771">
        <f ca="1" t="shared" ref="D771:D834" si="133">IF($B771=1990,ROUND($C771*RANDBETWEEN(10000,20000)/500,0),ROUND(D770+RANDBETWEEN(0,5)/10,0))</f>
        <v>9</v>
      </c>
      <c r="E771">
        <f ca="1" t="shared" ref="E771:E834" si="134">IF($B771=1990,ROUND($C771*RANDBETWEEN(10000,20000)/5000,0),ROUND(E770+RANDBETWEEN(0,20)/40,0))</f>
        <v>3</v>
      </c>
      <c r="F771">
        <f ca="1" t="shared" ref="F771:F834" si="135">$C771*RANDBETWEEN(50000,60000)/30000</f>
        <v>0.68773571328</v>
      </c>
      <c r="G771">
        <f ca="1" t="shared" ref="G771:G834" si="136">$C771*RANDBETWEEN(40000,50000)/200000</f>
        <v>0.09452435454</v>
      </c>
      <c r="H771">
        <f ca="1" t="shared" ref="H771:H834" si="137">$C771*RANDBETWEEN(40000,50000)/20000</f>
        <v>0.80590031676</v>
      </c>
      <c r="I771">
        <f ca="1" t="shared" ref="I771:I834" si="138">ROUND($C771*RANDBETWEEN(20000,30000)/5,0)</f>
        <v>2373</v>
      </c>
      <c r="J771">
        <f ca="1" t="shared" ref="J771:J834" si="139">IF(B771&lt;2015,ROUND($C771*RANDBETWEEN(10000,20000)/100,0),IF(B771&lt;2018,ROUND($C771*RANDBETWEEN(10000,20000)/70,0),ROUND($C771*RANDBETWEEN(10000,20000)/20,0)))</f>
        <v>335</v>
      </c>
      <c r="K771">
        <f ca="1" t="shared" ref="K771:K834" si="140">ROUND($C771*RANDBETWEEN(10000,20000)*6,0)</f>
        <v>40640</v>
      </c>
      <c r="L771">
        <f ca="1" t="shared" ref="L771:L834" si="141">ROUND($C771*RANDBETWEEN(10000,20000)*1,0)</f>
        <v>7891</v>
      </c>
      <c r="M771">
        <f ca="1" t="shared" ref="M771:M834" si="142">$C771*RANDBETWEEN(50000,60000)/700000</f>
        <v>0.034228800144</v>
      </c>
    </row>
    <row r="772" spans="1:13">
      <c r="A772" t="str">
        <f ca="1">OFFSET($N$2,(ROW(772:772)-2)/35,0)</f>
        <v>四川省</v>
      </c>
      <c r="B772">
        <f ca="1">OFFSET($O$1,0,MOD(ROW(772:772)-2,35))</f>
        <v>1990</v>
      </c>
      <c r="C772">
        <f ca="1" t="shared" si="132"/>
        <v>0.0877884</v>
      </c>
      <c r="D772">
        <f ca="1" t="shared" si="133"/>
        <v>3</v>
      </c>
      <c r="E772">
        <f ca="1" t="shared" si="134"/>
        <v>0</v>
      </c>
      <c r="F772">
        <f ca="1" t="shared" si="135"/>
        <v>0.15820640192</v>
      </c>
      <c r="G772">
        <f ca="1" t="shared" si="136"/>
        <v>0.020192209884</v>
      </c>
      <c r="H772">
        <f ca="1" t="shared" si="137"/>
        <v>0.18947809314</v>
      </c>
      <c r="I772">
        <f ca="1" t="shared" si="138"/>
        <v>486</v>
      </c>
      <c r="J772">
        <f ca="1" t="shared" si="139"/>
        <v>17</v>
      </c>
      <c r="K772">
        <f ca="1" t="shared" si="140"/>
        <v>9369</v>
      </c>
      <c r="L772">
        <f ca="1" t="shared" si="141"/>
        <v>1518</v>
      </c>
      <c r="M772">
        <f ca="1" t="shared" si="142"/>
        <v>0.00638911434</v>
      </c>
    </row>
    <row r="773" spans="1:13">
      <c r="A773" t="str">
        <f ca="1">OFFSET($N$2,(ROW(773:773)-2)/35,0)</f>
        <v>四川省</v>
      </c>
      <c r="B773">
        <f ca="1">OFFSET($O$1,0,MOD(ROW(773:773)-2,35))</f>
        <v>1991</v>
      </c>
      <c r="C773">
        <f ca="1" t="shared" si="132"/>
        <v>0.096558</v>
      </c>
      <c r="D773">
        <f ca="1" t="shared" si="133"/>
        <v>3</v>
      </c>
      <c r="E773">
        <f ca="1" t="shared" si="134"/>
        <v>0</v>
      </c>
      <c r="F773">
        <f ca="1" t="shared" si="135"/>
        <v>0.1895884144</v>
      </c>
      <c r="G773">
        <f ca="1" t="shared" si="136"/>
        <v>0.01998412647</v>
      </c>
      <c r="H773">
        <f ca="1" t="shared" si="137"/>
        <v>0.2190804462</v>
      </c>
      <c r="I773">
        <f ca="1" t="shared" si="138"/>
        <v>412</v>
      </c>
      <c r="J773">
        <f ca="1" t="shared" si="139"/>
        <v>10</v>
      </c>
      <c r="K773">
        <f ca="1" t="shared" si="140"/>
        <v>9266</v>
      </c>
      <c r="L773">
        <f ca="1" t="shared" si="141"/>
        <v>1461</v>
      </c>
      <c r="M773">
        <f ca="1" t="shared" si="142"/>
        <v>0.00718957074</v>
      </c>
    </row>
    <row r="774" spans="1:13">
      <c r="A774" t="str">
        <f ca="1">OFFSET($N$2,(ROW(774:774)-2)/35,0)</f>
        <v>四川省</v>
      </c>
      <c r="B774">
        <f ca="1">OFFSET($O$1,0,MOD(ROW(774:774)-2,35))</f>
        <v>1992</v>
      </c>
      <c r="C774">
        <f ca="1" t="shared" si="132"/>
        <v>0.11046672</v>
      </c>
      <c r="D774">
        <f ca="1" t="shared" si="133"/>
        <v>3</v>
      </c>
      <c r="E774">
        <f ca="1" t="shared" si="134"/>
        <v>0</v>
      </c>
      <c r="F774">
        <f ca="1" t="shared" si="135"/>
        <v>0.19427413824</v>
      </c>
      <c r="G774">
        <f ca="1" t="shared" si="136"/>
        <v>0.0228953323872</v>
      </c>
      <c r="H774">
        <f ca="1" t="shared" si="137"/>
        <v>0.273769672176</v>
      </c>
      <c r="I774">
        <f ca="1" t="shared" si="138"/>
        <v>450</v>
      </c>
      <c r="J774">
        <f ca="1" t="shared" si="139"/>
        <v>11</v>
      </c>
      <c r="K774">
        <f ca="1" t="shared" si="140"/>
        <v>12654</v>
      </c>
      <c r="L774">
        <f ca="1" t="shared" si="141"/>
        <v>2193</v>
      </c>
      <c r="M774">
        <f ca="1" t="shared" si="142"/>
        <v>0.0082843727616</v>
      </c>
    </row>
    <row r="775" spans="1:13">
      <c r="A775" t="str">
        <f ca="1">OFFSET($N$2,(ROW(775:775)-2)/35,0)</f>
        <v>四川省</v>
      </c>
      <c r="B775">
        <f ca="1">OFFSET($O$1,0,MOD(ROW(775:775)-2,35))</f>
        <v>1993</v>
      </c>
      <c r="C775">
        <f ca="1" t="shared" si="132"/>
        <v>0.11985792</v>
      </c>
      <c r="D775">
        <f ca="1" t="shared" si="133"/>
        <v>3</v>
      </c>
      <c r="E775">
        <f ca="1" t="shared" si="134"/>
        <v>0</v>
      </c>
      <c r="F775">
        <f ca="1" t="shared" si="135"/>
        <v>0.234969466368</v>
      </c>
      <c r="G775">
        <f ca="1" t="shared" si="136"/>
        <v>0.0288450070272</v>
      </c>
      <c r="H775">
        <f ca="1" t="shared" si="137"/>
        <v>0.242214877632</v>
      </c>
      <c r="I775">
        <f ca="1" t="shared" si="138"/>
        <v>700</v>
      </c>
      <c r="J775">
        <f ca="1" t="shared" si="139"/>
        <v>13</v>
      </c>
      <c r="K775">
        <f ca="1" t="shared" si="140"/>
        <v>12538</v>
      </c>
      <c r="L775">
        <f ca="1" t="shared" si="141"/>
        <v>1427</v>
      </c>
      <c r="M775">
        <f ca="1" t="shared" si="142"/>
        <v>0.009205944384</v>
      </c>
    </row>
    <row r="776" spans="1:13">
      <c r="A776" t="str">
        <f ca="1">OFFSET($N$2,(ROW(776:776)-2)/35,0)</f>
        <v>四川省</v>
      </c>
      <c r="B776">
        <f ca="1">OFFSET($O$1,0,MOD(ROW(776:776)-2,35))</f>
        <v>1994</v>
      </c>
      <c r="C776">
        <f ca="1" t="shared" si="132"/>
        <v>0.12899544</v>
      </c>
      <c r="D776">
        <f ca="1" t="shared" si="133"/>
        <v>4</v>
      </c>
      <c r="E776">
        <f ca="1" t="shared" si="134"/>
        <v>1</v>
      </c>
      <c r="F776">
        <f ca="1" t="shared" si="135"/>
        <v>0.2427264196</v>
      </c>
      <c r="G776">
        <f ca="1" t="shared" si="136"/>
        <v>0.0318160802988</v>
      </c>
      <c r="H776">
        <f ca="1" t="shared" si="137"/>
        <v>0.269013540348</v>
      </c>
      <c r="I776">
        <f ca="1" t="shared" si="138"/>
        <v>656</v>
      </c>
      <c r="J776">
        <f ca="1" t="shared" si="139"/>
        <v>14</v>
      </c>
      <c r="K776">
        <f ca="1" t="shared" si="140"/>
        <v>11201</v>
      </c>
      <c r="L776">
        <f ca="1" t="shared" si="141"/>
        <v>2538</v>
      </c>
      <c r="M776">
        <f ca="1" t="shared" si="142"/>
        <v>0.0096503331456</v>
      </c>
    </row>
    <row r="777" spans="1:13">
      <c r="A777" t="str">
        <f ca="1">OFFSET($N$2,(ROW(777:777)-2)/35,0)</f>
        <v>四川省</v>
      </c>
      <c r="B777">
        <f ca="1">OFFSET($O$1,0,MOD(ROW(777:777)-2,35))</f>
        <v>1995</v>
      </c>
      <c r="C777">
        <f ca="1" t="shared" si="132"/>
        <v>0.1383354</v>
      </c>
      <c r="D777">
        <f ca="1" t="shared" si="133"/>
        <v>4</v>
      </c>
      <c r="E777">
        <f ca="1" t="shared" si="134"/>
        <v>1</v>
      </c>
      <c r="F777">
        <f ca="1" t="shared" si="135"/>
        <v>0.24133532766</v>
      </c>
      <c r="G777">
        <f ca="1" t="shared" si="136"/>
        <v>0.029332638216</v>
      </c>
      <c r="H777">
        <f ca="1" t="shared" si="137"/>
        <v>0.29812662054</v>
      </c>
      <c r="I777">
        <f ca="1" t="shared" si="138"/>
        <v>775</v>
      </c>
      <c r="J777">
        <f ca="1" t="shared" si="139"/>
        <v>16</v>
      </c>
      <c r="K777">
        <f ca="1" t="shared" si="140"/>
        <v>11011</v>
      </c>
      <c r="L777">
        <f ca="1" t="shared" si="141"/>
        <v>2239</v>
      </c>
      <c r="M777">
        <f ca="1" t="shared" si="142"/>
        <v>0.010938180078</v>
      </c>
    </row>
    <row r="778" spans="1:13">
      <c r="A778" t="str">
        <f ca="1">OFFSET($N$2,(ROW(778:778)-2)/35,0)</f>
        <v>四川省</v>
      </c>
      <c r="B778">
        <f ca="1">OFFSET($O$1,0,MOD(ROW(778:778)-2,35))</f>
        <v>1996</v>
      </c>
      <c r="C778">
        <f ca="1" t="shared" si="132"/>
        <v>0.138768</v>
      </c>
      <c r="D778">
        <f ca="1" t="shared" si="133"/>
        <v>4</v>
      </c>
      <c r="E778">
        <f ca="1" t="shared" si="134"/>
        <v>1</v>
      </c>
      <c r="F778">
        <f ca="1" t="shared" si="135"/>
        <v>0.2421085296</v>
      </c>
      <c r="G778">
        <f ca="1" t="shared" si="136"/>
        <v>0.02962974336</v>
      </c>
      <c r="H778">
        <f ca="1" t="shared" si="137"/>
        <v>0.3082106664</v>
      </c>
      <c r="I778">
        <f ca="1" t="shared" si="138"/>
        <v>643</v>
      </c>
      <c r="J778">
        <f ca="1" t="shared" si="139"/>
        <v>26</v>
      </c>
      <c r="K778">
        <f ca="1" t="shared" si="140"/>
        <v>12951</v>
      </c>
      <c r="L778">
        <f ca="1" t="shared" si="141"/>
        <v>2415</v>
      </c>
      <c r="M778">
        <f ca="1" t="shared" si="142"/>
        <v>0.01113196896</v>
      </c>
    </row>
    <row r="779" spans="1:13">
      <c r="A779" t="str">
        <f ca="1">OFFSET($N$2,(ROW(779:779)-2)/35,0)</f>
        <v>四川省</v>
      </c>
      <c r="B779">
        <f ca="1">OFFSET($O$1,0,MOD(ROW(779:779)-2,35))</f>
        <v>1997</v>
      </c>
      <c r="C779">
        <f ca="1" t="shared" si="132"/>
        <v>0.1554378</v>
      </c>
      <c r="D779">
        <f ca="1" t="shared" si="133"/>
        <v>4</v>
      </c>
      <c r="E779">
        <f ca="1" t="shared" si="134"/>
        <v>1</v>
      </c>
      <c r="F779">
        <f ca="1" t="shared" si="135"/>
        <v>0.26700587158</v>
      </c>
      <c r="G779">
        <f ca="1" t="shared" si="136"/>
        <v>0.036397315248</v>
      </c>
      <c r="H779">
        <f ca="1" t="shared" si="137"/>
        <v>0.32764733862</v>
      </c>
      <c r="I779">
        <f ca="1" t="shared" si="138"/>
        <v>868</v>
      </c>
      <c r="J779">
        <f ca="1" t="shared" si="139"/>
        <v>26</v>
      </c>
      <c r="K779">
        <f ca="1" t="shared" si="140"/>
        <v>14416</v>
      </c>
      <c r="L779">
        <f ca="1" t="shared" si="141"/>
        <v>1931</v>
      </c>
      <c r="M779">
        <f ca="1" t="shared" si="142"/>
        <v>0.013074317466</v>
      </c>
    </row>
    <row r="780" spans="1:13">
      <c r="A780" t="str">
        <f ca="1">OFFSET($N$2,(ROW(780:780)-2)/35,0)</f>
        <v>四川省</v>
      </c>
      <c r="B780">
        <f ca="1">OFFSET($O$1,0,MOD(ROW(780:780)-2,35))</f>
        <v>1998</v>
      </c>
      <c r="C780">
        <f ca="1" t="shared" si="132"/>
        <v>0.16414272</v>
      </c>
      <c r="D780">
        <f ca="1" t="shared" si="133"/>
        <v>4</v>
      </c>
      <c r="E780">
        <f ca="1" t="shared" si="134"/>
        <v>2</v>
      </c>
      <c r="F780">
        <f ca="1" t="shared" si="135"/>
        <v>0.29898596448</v>
      </c>
      <c r="G780">
        <f ca="1" t="shared" si="136"/>
        <v>0.0409051865376</v>
      </c>
      <c r="H780">
        <f ca="1" t="shared" si="137"/>
        <v>0.398571352704</v>
      </c>
      <c r="I780">
        <f ca="1" t="shared" si="138"/>
        <v>862</v>
      </c>
      <c r="J780">
        <f ca="1" t="shared" si="139"/>
        <v>20</v>
      </c>
      <c r="K780">
        <f ca="1" t="shared" si="140"/>
        <v>18267</v>
      </c>
      <c r="L780">
        <f ca="1" t="shared" si="141"/>
        <v>2433</v>
      </c>
      <c r="M780">
        <f ca="1" t="shared" si="142"/>
        <v>0.0122014318464</v>
      </c>
    </row>
    <row r="781" spans="1:13">
      <c r="A781" t="str">
        <f ca="1">OFFSET($N$2,(ROW(781:781)-2)/35,0)</f>
        <v>四川省</v>
      </c>
      <c r="B781">
        <f ca="1">OFFSET($O$1,0,MOD(ROW(781:781)-2,35))</f>
        <v>1999</v>
      </c>
      <c r="C781">
        <f ca="1" t="shared" si="132"/>
        <v>0.16501044</v>
      </c>
      <c r="D781">
        <f ca="1" t="shared" si="133"/>
        <v>4</v>
      </c>
      <c r="E781">
        <f ca="1" t="shared" si="134"/>
        <v>2</v>
      </c>
      <c r="F781">
        <f ca="1" t="shared" si="135"/>
        <v>0.319086188176</v>
      </c>
      <c r="G781">
        <f ca="1" t="shared" si="136"/>
        <v>0.0367032721692</v>
      </c>
      <c r="H781">
        <f ca="1" t="shared" si="137"/>
        <v>0.36071282184</v>
      </c>
      <c r="I781">
        <f ca="1" t="shared" si="138"/>
        <v>841</v>
      </c>
      <c r="J781">
        <f ca="1" t="shared" si="139"/>
        <v>28</v>
      </c>
      <c r="K781">
        <f ca="1" t="shared" si="140"/>
        <v>9930</v>
      </c>
      <c r="L781">
        <f ca="1" t="shared" si="141"/>
        <v>3258</v>
      </c>
      <c r="M781">
        <f ca="1" t="shared" si="142"/>
        <v>0.0128316832728</v>
      </c>
    </row>
    <row r="782" spans="1:13">
      <c r="A782" t="str">
        <f ca="1">OFFSET($N$2,(ROW(782:782)-2)/35,0)</f>
        <v>四川省</v>
      </c>
      <c r="B782">
        <f ca="1">OFFSET($O$1,0,MOD(ROW(782:782)-2,35))</f>
        <v>2000</v>
      </c>
      <c r="C782">
        <f ca="1" t="shared" si="132"/>
        <v>0.1835568</v>
      </c>
      <c r="D782">
        <f ca="1" t="shared" si="133"/>
        <v>4</v>
      </c>
      <c r="E782">
        <f ca="1" t="shared" si="134"/>
        <v>2</v>
      </c>
      <c r="F782">
        <f ca="1" t="shared" si="135"/>
        <v>0.31477543776</v>
      </c>
      <c r="G782">
        <f ca="1" t="shared" si="136"/>
        <v>0.038453314032</v>
      </c>
      <c r="H782">
        <f ca="1" t="shared" si="137"/>
        <v>0.38187156672</v>
      </c>
      <c r="I782">
        <f ca="1" t="shared" si="138"/>
        <v>948</v>
      </c>
      <c r="J782">
        <f ca="1" t="shared" si="139"/>
        <v>33</v>
      </c>
      <c r="K782">
        <f ca="1" t="shared" si="140"/>
        <v>13325</v>
      </c>
      <c r="L782">
        <f ca="1" t="shared" si="141"/>
        <v>2397</v>
      </c>
      <c r="M782">
        <f ca="1" t="shared" si="142"/>
        <v>0.013579794288</v>
      </c>
    </row>
    <row r="783" spans="1:13">
      <c r="A783" t="str">
        <f ca="1">OFFSET($N$2,(ROW(783:783)-2)/35,0)</f>
        <v>四川省</v>
      </c>
      <c r="B783">
        <f ca="1">OFFSET($O$1,0,MOD(ROW(783:783)-2,35))</f>
        <v>2001</v>
      </c>
      <c r="C783">
        <f ca="1" t="shared" si="132"/>
        <v>0.1928052</v>
      </c>
      <c r="D783">
        <f ca="1" t="shared" si="133"/>
        <v>4</v>
      </c>
      <c r="E783">
        <f ca="1" t="shared" si="134"/>
        <v>2</v>
      </c>
      <c r="F783">
        <f ca="1" t="shared" si="135"/>
        <v>0.35650324164</v>
      </c>
      <c r="G783">
        <f ca="1" t="shared" si="136"/>
        <v>0.043950909366</v>
      </c>
      <c r="H783">
        <f ca="1" t="shared" si="137"/>
        <v>0.42968566872</v>
      </c>
      <c r="I783">
        <f ca="1" t="shared" si="138"/>
        <v>843</v>
      </c>
      <c r="J783">
        <f ca="1" t="shared" si="139"/>
        <v>26</v>
      </c>
      <c r="K783">
        <f ca="1" t="shared" si="140"/>
        <v>15178</v>
      </c>
      <c r="L783">
        <f ca="1" t="shared" si="141"/>
        <v>3280</v>
      </c>
      <c r="M783">
        <f ca="1" t="shared" si="142"/>
        <v>0.014562576756</v>
      </c>
    </row>
    <row r="784" spans="1:13">
      <c r="A784" t="str">
        <f ca="1">OFFSET($N$2,(ROW(784:784)-2)/35,0)</f>
        <v>四川省</v>
      </c>
      <c r="B784">
        <f ca="1">OFFSET($O$1,0,MOD(ROW(784:784)-2,35))</f>
        <v>2002</v>
      </c>
      <c r="C784">
        <f ca="1" t="shared" si="132"/>
        <v>0.19028856</v>
      </c>
      <c r="D784">
        <f ca="1" t="shared" si="133"/>
        <v>4</v>
      </c>
      <c r="E784">
        <f ca="1" t="shared" si="134"/>
        <v>2</v>
      </c>
      <c r="F784">
        <f ca="1" t="shared" si="135"/>
        <v>0.342494036192</v>
      </c>
      <c r="G784">
        <f ca="1" t="shared" si="136"/>
        <v>0.0444162042324</v>
      </c>
      <c r="H784">
        <f ca="1" t="shared" si="137"/>
        <v>0.431602997364</v>
      </c>
      <c r="I784">
        <f ca="1" t="shared" si="138"/>
        <v>877</v>
      </c>
      <c r="J784">
        <f ca="1" t="shared" si="139"/>
        <v>35</v>
      </c>
      <c r="K784">
        <f ca="1" t="shared" si="140"/>
        <v>22134</v>
      </c>
      <c r="L784">
        <f ca="1" t="shared" si="141"/>
        <v>3540</v>
      </c>
      <c r="M784">
        <f ca="1" t="shared" si="142"/>
        <v>0.015967928592</v>
      </c>
    </row>
    <row r="785" spans="1:13">
      <c r="A785" t="str">
        <f ca="1">OFFSET($N$2,(ROW(785:785)-2)/35,0)</f>
        <v>四川省</v>
      </c>
      <c r="B785">
        <f ca="1">OFFSET($O$1,0,MOD(ROW(785:785)-2,35))</f>
        <v>2003</v>
      </c>
      <c r="C785">
        <f ca="1" t="shared" si="132"/>
        <v>0.20550684</v>
      </c>
      <c r="D785">
        <f ca="1" t="shared" si="133"/>
        <v>4</v>
      </c>
      <c r="E785">
        <f ca="1" t="shared" si="134"/>
        <v>2</v>
      </c>
      <c r="F785">
        <f ca="1" t="shared" si="135"/>
        <v>0.37974238918</v>
      </c>
      <c r="G785">
        <f ca="1" t="shared" si="136"/>
        <v>0.0415010788038</v>
      </c>
      <c r="H785">
        <f ca="1" t="shared" si="137"/>
        <v>0.433711910478</v>
      </c>
      <c r="I785">
        <f ca="1" t="shared" si="138"/>
        <v>994</v>
      </c>
      <c r="J785">
        <f ca="1" t="shared" si="139"/>
        <v>34</v>
      </c>
      <c r="K785">
        <f ca="1" t="shared" si="140"/>
        <v>13848</v>
      </c>
      <c r="L785">
        <f ca="1" t="shared" si="141"/>
        <v>3921</v>
      </c>
      <c r="M785">
        <f ca="1" t="shared" si="142"/>
        <v>0.0171316373448</v>
      </c>
    </row>
    <row r="786" spans="1:13">
      <c r="A786" t="str">
        <f ca="1">OFFSET($N$2,(ROW(786:786)-2)/35,0)</f>
        <v>四川省</v>
      </c>
      <c r="B786">
        <f ca="1">OFFSET($O$1,0,MOD(ROW(786:786)-2,35))</f>
        <v>2004</v>
      </c>
      <c r="C786">
        <f ca="1" t="shared" si="132"/>
        <v>0.2052288</v>
      </c>
      <c r="D786">
        <f ca="1" t="shared" si="133"/>
        <v>4</v>
      </c>
      <c r="E786">
        <f ca="1" t="shared" si="134"/>
        <v>2</v>
      </c>
      <c r="F786">
        <f ca="1" t="shared" si="135"/>
        <v>0.3518989824</v>
      </c>
      <c r="G786">
        <f ca="1" t="shared" si="136"/>
        <v>0.044865067968</v>
      </c>
      <c r="H786">
        <f ca="1" t="shared" si="137"/>
        <v>0.49462193088</v>
      </c>
      <c r="I786">
        <f ca="1" t="shared" si="138"/>
        <v>917</v>
      </c>
      <c r="J786">
        <f ca="1" t="shared" si="139"/>
        <v>36</v>
      </c>
      <c r="K786">
        <f ca="1" t="shared" si="140"/>
        <v>12326</v>
      </c>
      <c r="L786">
        <f ca="1" t="shared" si="141"/>
        <v>2539</v>
      </c>
      <c r="M786">
        <f ca="1" t="shared" si="142"/>
        <v>0.016798856832</v>
      </c>
    </row>
    <row r="787" spans="1:13">
      <c r="A787" t="str">
        <f ca="1">OFFSET($N$2,(ROW(787:787)-2)/35,0)</f>
        <v>四川省</v>
      </c>
      <c r="B787">
        <f ca="1">OFFSET($O$1,0,MOD(ROW(787:787)-2,35))</f>
        <v>2005</v>
      </c>
      <c r="C787">
        <f ca="1" t="shared" si="132"/>
        <v>0.211554</v>
      </c>
      <c r="D787">
        <f ca="1" t="shared" si="133"/>
        <v>4</v>
      </c>
      <c r="E787">
        <f ca="1" t="shared" si="134"/>
        <v>2</v>
      </c>
      <c r="F787">
        <f ca="1" t="shared" si="135"/>
        <v>0.3635696526</v>
      </c>
      <c r="G787">
        <f ca="1" t="shared" si="136"/>
        <v>0.04274025462</v>
      </c>
      <c r="H787">
        <f ca="1" t="shared" si="137"/>
        <v>0.528673446</v>
      </c>
      <c r="I787">
        <f ca="1" t="shared" si="138"/>
        <v>1112</v>
      </c>
      <c r="J787">
        <f ca="1" t="shared" si="139"/>
        <v>37</v>
      </c>
      <c r="K787">
        <f ca="1" t="shared" si="140"/>
        <v>21232</v>
      </c>
      <c r="L787">
        <f ca="1" t="shared" si="141"/>
        <v>3239</v>
      </c>
      <c r="M787">
        <f ca="1" t="shared" si="142"/>
        <v>0.017362539</v>
      </c>
    </row>
    <row r="788" spans="1:13">
      <c r="A788" t="str">
        <f ca="1">OFFSET($N$2,(ROW(788:788)-2)/35,0)</f>
        <v>四川省</v>
      </c>
      <c r="B788">
        <f ca="1">OFFSET($O$1,0,MOD(ROW(788:788)-2,35))</f>
        <v>2006</v>
      </c>
      <c r="C788">
        <f ca="1" t="shared" si="132"/>
        <v>0.23512944</v>
      </c>
      <c r="D788">
        <f ca="1" t="shared" si="133"/>
        <v>4</v>
      </c>
      <c r="E788">
        <f ca="1" t="shared" si="134"/>
        <v>2</v>
      </c>
      <c r="F788">
        <f ca="1" t="shared" si="135"/>
        <v>0.42726938072</v>
      </c>
      <c r="G788">
        <f ca="1" t="shared" si="136"/>
        <v>0.0543360622896</v>
      </c>
      <c r="H788">
        <f ca="1" t="shared" si="137"/>
        <v>0.4726101744</v>
      </c>
      <c r="I788">
        <f ca="1" t="shared" si="138"/>
        <v>1049</v>
      </c>
      <c r="J788">
        <f ca="1" t="shared" si="139"/>
        <v>35</v>
      </c>
      <c r="K788">
        <f ca="1" t="shared" si="140"/>
        <v>26987</v>
      </c>
      <c r="L788">
        <f ca="1" t="shared" si="141"/>
        <v>2574</v>
      </c>
      <c r="M788">
        <f ca="1" t="shared" si="142"/>
        <v>0.017478514872</v>
      </c>
    </row>
    <row r="789" spans="1:13">
      <c r="A789" t="str">
        <f ca="1">OFFSET($N$2,(ROW(789:789)-2)/35,0)</f>
        <v>四川省</v>
      </c>
      <c r="B789">
        <f ca="1">OFFSET($O$1,0,MOD(ROW(789:789)-2,35))</f>
        <v>2007</v>
      </c>
      <c r="C789">
        <f ca="1" t="shared" si="132"/>
        <v>0.2271402</v>
      </c>
      <c r="D789">
        <f ca="1" t="shared" si="133"/>
        <v>4</v>
      </c>
      <c r="E789">
        <f ca="1" t="shared" si="134"/>
        <v>2</v>
      </c>
      <c r="F789">
        <f ca="1" t="shared" si="135"/>
        <v>0.39118085244</v>
      </c>
      <c r="G789">
        <f ca="1" t="shared" si="136"/>
        <v>0.050237733735</v>
      </c>
      <c r="H789">
        <f ca="1" t="shared" si="137"/>
        <v>0.51257593233</v>
      </c>
      <c r="I789">
        <f ca="1" t="shared" si="138"/>
        <v>1191</v>
      </c>
      <c r="J789">
        <f ca="1" t="shared" si="139"/>
        <v>34</v>
      </c>
      <c r="K789">
        <f ca="1" t="shared" si="140"/>
        <v>19201</v>
      </c>
      <c r="L789">
        <f ca="1" t="shared" si="141"/>
        <v>2785</v>
      </c>
      <c r="M789">
        <f ca="1" t="shared" si="142"/>
        <v>0.01844053938</v>
      </c>
    </row>
    <row r="790" spans="1:13">
      <c r="A790" t="str">
        <f ca="1">OFFSET($N$2,(ROW(790:790)-2)/35,0)</f>
        <v>四川省</v>
      </c>
      <c r="B790">
        <f ca="1">OFFSET($O$1,0,MOD(ROW(790:790)-2,35))</f>
        <v>2008</v>
      </c>
      <c r="C790">
        <f ca="1" t="shared" si="132"/>
        <v>0.25415712</v>
      </c>
      <c r="D790">
        <f ca="1" t="shared" si="133"/>
        <v>4</v>
      </c>
      <c r="E790">
        <f ca="1" t="shared" si="134"/>
        <v>2</v>
      </c>
      <c r="F790">
        <f ca="1" t="shared" si="135"/>
        <v>0.457093108416</v>
      </c>
      <c r="G790">
        <f ca="1" t="shared" si="136"/>
        <v>0.0585158645232</v>
      </c>
      <c r="H790">
        <f ca="1" t="shared" si="137"/>
        <v>0.620168788512</v>
      </c>
      <c r="I790">
        <f ca="1" t="shared" si="138"/>
        <v>1259</v>
      </c>
      <c r="J790">
        <f ca="1" t="shared" si="139"/>
        <v>47</v>
      </c>
      <c r="K790">
        <f ca="1" t="shared" si="140"/>
        <v>25544</v>
      </c>
      <c r="L790">
        <f ca="1" t="shared" si="141"/>
        <v>3358</v>
      </c>
      <c r="M790">
        <f ca="1" t="shared" si="142"/>
        <v>0.019047260736</v>
      </c>
    </row>
    <row r="791" spans="1:13">
      <c r="A791" t="str">
        <f ca="1">OFFSET($N$2,(ROW(791:791)-2)/35,0)</f>
        <v>四川省</v>
      </c>
      <c r="B791">
        <f ca="1">OFFSET($O$1,0,MOD(ROW(791:791)-2,35))</f>
        <v>2009</v>
      </c>
      <c r="C791">
        <f ca="1" t="shared" si="132"/>
        <v>0.25558512</v>
      </c>
      <c r="D791">
        <f ca="1" t="shared" si="133"/>
        <v>4</v>
      </c>
      <c r="E791">
        <f ca="1" t="shared" si="134"/>
        <v>2</v>
      </c>
      <c r="F791">
        <f ca="1" t="shared" si="135"/>
        <v>0.499507039024</v>
      </c>
      <c r="G791">
        <f ca="1" t="shared" si="136"/>
        <v>0.0538160028672</v>
      </c>
      <c r="H791">
        <f ca="1" t="shared" si="137"/>
        <v>0.608139234528</v>
      </c>
      <c r="I791">
        <f ca="1" t="shared" si="138"/>
        <v>1380</v>
      </c>
      <c r="J791">
        <f ca="1" t="shared" si="139"/>
        <v>44</v>
      </c>
      <c r="K791">
        <f ca="1" t="shared" si="140"/>
        <v>28531</v>
      </c>
      <c r="L791">
        <f ca="1" t="shared" si="141"/>
        <v>3129</v>
      </c>
      <c r="M791">
        <f ca="1" t="shared" si="142"/>
        <v>0.0209842685952</v>
      </c>
    </row>
    <row r="792" spans="1:13">
      <c r="A792" t="str">
        <f ca="1">OFFSET($N$2,(ROW(792:792)-2)/35,0)</f>
        <v>四川省</v>
      </c>
      <c r="B792">
        <f ca="1">OFFSET($O$1,0,MOD(ROW(792:792)-2,35))</f>
        <v>2010</v>
      </c>
      <c r="C792">
        <f ca="1" t="shared" si="132"/>
        <v>0.27153</v>
      </c>
      <c r="D792">
        <f ca="1" t="shared" si="133"/>
        <v>4</v>
      </c>
      <c r="E792">
        <f ca="1" t="shared" si="134"/>
        <v>3</v>
      </c>
      <c r="F792">
        <f ca="1" t="shared" si="135"/>
        <v>0.538145307</v>
      </c>
      <c r="G792">
        <f ca="1" t="shared" si="136"/>
        <v>0.0595003689</v>
      </c>
      <c r="H792">
        <f ca="1" t="shared" si="137"/>
        <v>0.620147367</v>
      </c>
      <c r="I792">
        <f ca="1" t="shared" si="138"/>
        <v>1473</v>
      </c>
      <c r="J792">
        <f ca="1" t="shared" si="139"/>
        <v>38</v>
      </c>
      <c r="K792">
        <f ca="1" t="shared" si="140"/>
        <v>23617</v>
      </c>
      <c r="L792">
        <f ca="1" t="shared" si="141"/>
        <v>2901</v>
      </c>
      <c r="M792">
        <f ca="1" t="shared" si="142"/>
        <v>0.0209450484</v>
      </c>
    </row>
    <row r="793" spans="1:13">
      <c r="A793" t="str">
        <f ca="1">OFFSET($N$2,(ROW(793:793)-2)/35,0)</f>
        <v>四川省</v>
      </c>
      <c r="B793">
        <f ca="1">OFFSET($O$1,0,MOD(ROW(793:793)-2,35))</f>
        <v>2011</v>
      </c>
      <c r="C793">
        <f ca="1" t="shared" si="132"/>
        <v>0.28380996</v>
      </c>
      <c r="D793">
        <f ca="1" t="shared" si="133"/>
        <v>4</v>
      </c>
      <c r="E793">
        <f ca="1" t="shared" si="134"/>
        <v>3</v>
      </c>
      <c r="F793">
        <f ca="1" t="shared" si="135"/>
        <v>0.518700543228</v>
      </c>
      <c r="G793">
        <f ca="1" t="shared" si="136"/>
        <v>0.0612759894138</v>
      </c>
      <c r="H793">
        <f ca="1" t="shared" si="137"/>
        <v>0.605210549202</v>
      </c>
      <c r="I793">
        <f ca="1" t="shared" si="138"/>
        <v>1604</v>
      </c>
      <c r="J793">
        <f ca="1" t="shared" si="139"/>
        <v>34</v>
      </c>
      <c r="K793">
        <f ca="1" t="shared" si="140"/>
        <v>17849</v>
      </c>
      <c r="L793">
        <f ca="1" t="shared" si="141"/>
        <v>5089</v>
      </c>
      <c r="M793">
        <f ca="1" t="shared" si="142"/>
        <v>0.0230546939364</v>
      </c>
    </row>
    <row r="794" spans="1:13">
      <c r="A794" t="str">
        <f ca="1">OFFSET($N$2,(ROW(794:794)-2)/35,0)</f>
        <v>四川省</v>
      </c>
      <c r="B794">
        <f ca="1">OFFSET($O$1,0,MOD(ROW(794:794)-2,35))</f>
        <v>2012</v>
      </c>
      <c r="C794">
        <f ca="1" t="shared" si="132"/>
        <v>0.29441664</v>
      </c>
      <c r="D794">
        <f ca="1" t="shared" si="133"/>
        <v>4</v>
      </c>
      <c r="E794">
        <f ca="1" t="shared" si="134"/>
        <v>3</v>
      </c>
      <c r="F794">
        <f ca="1" t="shared" si="135"/>
        <v>0.499929268608</v>
      </c>
      <c r="G794">
        <f ca="1" t="shared" si="136"/>
        <v>0.0720319751424</v>
      </c>
      <c r="H794">
        <f ca="1" t="shared" si="137"/>
        <v>0.727474075776</v>
      </c>
      <c r="I794">
        <f ca="1" t="shared" si="138"/>
        <v>1252</v>
      </c>
      <c r="J794">
        <f ca="1" t="shared" si="139"/>
        <v>45</v>
      </c>
      <c r="K794">
        <f ca="1" t="shared" si="140"/>
        <v>20751</v>
      </c>
      <c r="L794">
        <f ca="1" t="shared" si="141"/>
        <v>3853</v>
      </c>
      <c r="M794">
        <f ca="1" t="shared" si="142"/>
        <v>0.0235180012032</v>
      </c>
    </row>
    <row r="795" spans="1:13">
      <c r="A795" t="str">
        <f ca="1">OFFSET($N$2,(ROW(795:795)-2)/35,0)</f>
        <v>四川省</v>
      </c>
      <c r="B795">
        <f ca="1">OFFSET($O$1,0,MOD(ROW(795:795)-2,35))</f>
        <v>2013</v>
      </c>
      <c r="C795">
        <f ca="1" t="shared" si="132"/>
        <v>0.29166984</v>
      </c>
      <c r="D795">
        <f ca="1" t="shared" si="133"/>
        <v>4</v>
      </c>
      <c r="E795">
        <f ca="1" t="shared" si="134"/>
        <v>3</v>
      </c>
      <c r="F795">
        <f ca="1" t="shared" si="135"/>
        <v>0.543011463456</v>
      </c>
      <c r="G795">
        <f ca="1" t="shared" si="136"/>
        <v>0.0640681970544</v>
      </c>
      <c r="H795">
        <f ca="1" t="shared" si="137"/>
        <v>0.663680137428</v>
      </c>
      <c r="I795">
        <f ca="1" t="shared" si="138"/>
        <v>1483</v>
      </c>
      <c r="J795">
        <f ca="1" t="shared" si="139"/>
        <v>53</v>
      </c>
      <c r="K795">
        <f ca="1" t="shared" si="140"/>
        <v>33242</v>
      </c>
      <c r="L795">
        <f ca="1" t="shared" si="141"/>
        <v>3103</v>
      </c>
      <c r="M795">
        <f ca="1" t="shared" si="142"/>
        <v>0.023360670828</v>
      </c>
    </row>
    <row r="796" spans="1:13">
      <c r="A796" t="str">
        <f ca="1">OFFSET($N$2,(ROW(796:796)-2)/35,0)</f>
        <v>四川省</v>
      </c>
      <c r="B796">
        <f ca="1">OFFSET($O$1,0,MOD(ROW(796:796)-2,35))</f>
        <v>2014</v>
      </c>
      <c r="C796">
        <f ca="1" t="shared" si="132"/>
        <v>0.2981664</v>
      </c>
      <c r="D796">
        <f ca="1" t="shared" si="133"/>
        <v>4</v>
      </c>
      <c r="E796">
        <f ca="1" t="shared" si="134"/>
        <v>3</v>
      </c>
      <c r="F796">
        <f ca="1" t="shared" si="135"/>
        <v>0.55656734112</v>
      </c>
      <c r="G796">
        <f ca="1" t="shared" si="136"/>
        <v>0.068259233952</v>
      </c>
      <c r="H796">
        <f ca="1" t="shared" si="137"/>
        <v>0.60116309568</v>
      </c>
      <c r="I796">
        <f ca="1" t="shared" si="138"/>
        <v>1731</v>
      </c>
      <c r="J796">
        <f ca="1" t="shared" si="139"/>
        <v>59</v>
      </c>
      <c r="K796">
        <f ca="1" t="shared" si="140"/>
        <v>21643</v>
      </c>
      <c r="L796">
        <f ca="1" t="shared" si="141"/>
        <v>5221</v>
      </c>
      <c r="M796">
        <f ca="1" t="shared" si="142"/>
        <v>0.022789709856</v>
      </c>
    </row>
    <row r="797" spans="1:13">
      <c r="A797" t="str">
        <f ca="1">OFFSET($N$2,(ROW(797:797)-2)/35,0)</f>
        <v>四川省</v>
      </c>
      <c r="B797">
        <f ca="1">OFFSET($O$1,0,MOD(ROW(797:797)-2,35))</f>
        <v>2015</v>
      </c>
      <c r="C797">
        <f ca="1" t="shared" si="132"/>
        <v>0.3129924</v>
      </c>
      <c r="D797">
        <f ca="1" t="shared" si="133"/>
        <v>4</v>
      </c>
      <c r="E797">
        <f ca="1" t="shared" si="134"/>
        <v>3</v>
      </c>
      <c r="F797">
        <f ca="1" t="shared" si="135"/>
        <v>0.57753357648</v>
      </c>
      <c r="G797">
        <f ca="1" t="shared" si="136"/>
        <v>0.074925685674</v>
      </c>
      <c r="H797">
        <f ca="1" t="shared" si="137"/>
        <v>0.76664358456</v>
      </c>
      <c r="I797">
        <f ca="1" t="shared" si="138"/>
        <v>1644</v>
      </c>
      <c r="J797">
        <f ca="1" t="shared" si="139"/>
        <v>57</v>
      </c>
      <c r="K797">
        <f ca="1" t="shared" si="140"/>
        <v>33043</v>
      </c>
      <c r="L797">
        <f ca="1" t="shared" si="141"/>
        <v>3229</v>
      </c>
      <c r="M797">
        <f ca="1" t="shared" si="142"/>
        <v>0.025639890276</v>
      </c>
    </row>
    <row r="798" spans="1:13">
      <c r="A798" t="str">
        <f ca="1">OFFSET($N$2,(ROW(798:798)-2)/35,0)</f>
        <v>四川省</v>
      </c>
      <c r="B798">
        <f ca="1">OFFSET($O$1,0,MOD(ROW(798:798)-2,35))</f>
        <v>2016</v>
      </c>
      <c r="C798">
        <f ca="1" t="shared" si="132"/>
        <v>0.3172176</v>
      </c>
      <c r="D798">
        <f ca="1" t="shared" si="133"/>
        <v>4</v>
      </c>
      <c r="E798">
        <f ca="1" t="shared" si="134"/>
        <v>3</v>
      </c>
      <c r="F798">
        <f ca="1" t="shared" si="135"/>
        <v>0.58538278512</v>
      </c>
      <c r="G798">
        <f ca="1" t="shared" si="136"/>
        <v>0.066309581016</v>
      </c>
      <c r="H798">
        <f ca="1" t="shared" si="137"/>
        <v>0.64326971016</v>
      </c>
      <c r="I798">
        <f ca="1" t="shared" si="138"/>
        <v>1863</v>
      </c>
      <c r="J798">
        <f ca="1" t="shared" si="139"/>
        <v>74</v>
      </c>
      <c r="K798">
        <f ca="1" t="shared" si="140"/>
        <v>37651</v>
      </c>
      <c r="L798">
        <f ca="1" t="shared" si="141"/>
        <v>3287</v>
      </c>
      <c r="M798">
        <f ca="1" t="shared" si="142"/>
        <v>0.02295522504</v>
      </c>
    </row>
    <row r="799" spans="1:13">
      <c r="A799" t="str">
        <f ca="1">OFFSET($N$2,(ROW(799:799)-2)/35,0)</f>
        <v>四川省</v>
      </c>
      <c r="B799">
        <f ca="1">OFFSET($O$1,0,MOD(ROW(799:799)-2,35))</f>
        <v>2017</v>
      </c>
      <c r="C799">
        <f ca="1" t="shared" si="132"/>
        <v>0.31900512</v>
      </c>
      <c r="D799">
        <f ca="1" t="shared" si="133"/>
        <v>4</v>
      </c>
      <c r="E799">
        <f ca="1" t="shared" si="134"/>
        <v>3</v>
      </c>
      <c r="F799">
        <f ca="1" t="shared" si="135"/>
        <v>0.541532458208</v>
      </c>
      <c r="G799">
        <f ca="1" t="shared" si="136"/>
        <v>0.0674073768816</v>
      </c>
      <c r="H799">
        <f ca="1" t="shared" si="137"/>
        <v>0.645124054176</v>
      </c>
      <c r="I799">
        <f ca="1" t="shared" si="138"/>
        <v>1884</v>
      </c>
      <c r="J799">
        <f ca="1" t="shared" si="139"/>
        <v>87</v>
      </c>
      <c r="K799">
        <f ca="1" t="shared" si="140"/>
        <v>35063</v>
      </c>
      <c r="L799">
        <f ca="1" t="shared" si="141"/>
        <v>5462</v>
      </c>
      <c r="M799">
        <f ca="1" t="shared" si="142"/>
        <v>0.0258261987936</v>
      </c>
    </row>
    <row r="800" spans="1:13">
      <c r="A800" t="str">
        <f ca="1">OFFSET($N$2,(ROW(800:800)-2)/35,0)</f>
        <v>四川省</v>
      </c>
      <c r="B800">
        <f ca="1">OFFSET($O$1,0,MOD(ROW(800:800)-2,35))</f>
        <v>2018</v>
      </c>
      <c r="C800">
        <f ca="1" t="shared" si="132"/>
        <v>0.3474492</v>
      </c>
      <c r="D800">
        <f ca="1" t="shared" si="133"/>
        <v>4</v>
      </c>
      <c r="E800">
        <f ca="1" t="shared" si="134"/>
        <v>3</v>
      </c>
      <c r="F800">
        <f ca="1" t="shared" si="135"/>
        <v>0.61876069864</v>
      </c>
      <c r="G800">
        <f ca="1" t="shared" si="136"/>
        <v>0.076748053788</v>
      </c>
      <c r="H800">
        <f ca="1" t="shared" si="137"/>
        <v>0.79440785088</v>
      </c>
      <c r="I800">
        <f ca="1" t="shared" si="138"/>
        <v>1645</v>
      </c>
      <c r="J800">
        <f ca="1" t="shared" si="139"/>
        <v>311</v>
      </c>
      <c r="K800">
        <f ca="1" t="shared" si="140"/>
        <v>25248</v>
      </c>
      <c r="L800">
        <f ca="1" t="shared" si="141"/>
        <v>4620</v>
      </c>
      <c r="M800">
        <f ca="1" t="shared" si="142"/>
        <v>0.0251032047</v>
      </c>
    </row>
    <row r="801" spans="1:13">
      <c r="A801" t="str">
        <f ca="1">OFFSET($N$2,(ROW(801:801)-2)/35,0)</f>
        <v>四川省</v>
      </c>
      <c r="B801">
        <f ca="1">OFFSET($O$1,0,MOD(ROW(801:801)-2,35))</f>
        <v>2019</v>
      </c>
      <c r="C801">
        <f ca="1" t="shared" si="132"/>
        <v>0.3364452</v>
      </c>
      <c r="D801">
        <f ca="1" t="shared" si="133"/>
        <v>5</v>
      </c>
      <c r="E801">
        <f ca="1" t="shared" si="134"/>
        <v>3</v>
      </c>
      <c r="F801">
        <f ca="1" t="shared" si="135"/>
        <v>0.58723145208</v>
      </c>
      <c r="G801">
        <f ca="1" t="shared" si="136"/>
        <v>0.083611678878</v>
      </c>
      <c r="H801">
        <f ca="1" t="shared" si="137"/>
        <v>0.78297526944</v>
      </c>
      <c r="I801">
        <f ca="1" t="shared" si="138"/>
        <v>1617</v>
      </c>
      <c r="J801">
        <f ca="1" t="shared" si="139"/>
        <v>181</v>
      </c>
      <c r="K801">
        <f ca="1" t="shared" si="140"/>
        <v>27977</v>
      </c>
      <c r="L801">
        <f ca="1" t="shared" si="141"/>
        <v>6590</v>
      </c>
      <c r="M801">
        <f ca="1" t="shared" si="142"/>
        <v>0.025527539232</v>
      </c>
    </row>
    <row r="802" spans="1:13">
      <c r="A802" t="str">
        <f ca="1">OFFSET($N$2,(ROW(802:802)-2)/35,0)</f>
        <v>四川省</v>
      </c>
      <c r="B802">
        <f ca="1">OFFSET($O$1,0,MOD(ROW(802:802)-2,35))</f>
        <v>2020</v>
      </c>
      <c r="C802">
        <f ca="1" t="shared" si="132"/>
        <v>0.3688608</v>
      </c>
      <c r="D802">
        <f ca="1" t="shared" si="133"/>
        <v>5</v>
      </c>
      <c r="E802">
        <f ca="1" t="shared" si="134"/>
        <v>3</v>
      </c>
      <c r="F802">
        <f ca="1" t="shared" si="135"/>
        <v>0.7043396976</v>
      </c>
      <c r="G802">
        <f ca="1" t="shared" si="136"/>
        <v>0.07899154032</v>
      </c>
      <c r="H802">
        <f ca="1" t="shared" si="137"/>
        <v>0.75061328496</v>
      </c>
      <c r="I802">
        <f ca="1" t="shared" si="138"/>
        <v>1725</v>
      </c>
      <c r="J802">
        <f ca="1" t="shared" si="139"/>
        <v>260</v>
      </c>
      <c r="K802">
        <f ca="1" t="shared" si="140"/>
        <v>33045</v>
      </c>
      <c r="L802">
        <f ca="1" t="shared" si="141"/>
        <v>5080</v>
      </c>
      <c r="M802">
        <f ca="1" t="shared" si="142"/>
        <v>0.0273615672</v>
      </c>
    </row>
    <row r="803" spans="1:13">
      <c r="A803" t="str">
        <f ca="1">OFFSET($N$2,(ROW(803:803)-2)/35,0)</f>
        <v>四川省</v>
      </c>
      <c r="B803">
        <f ca="1">OFFSET($O$1,0,MOD(ROW(803:803)-2,35))</f>
        <v>2021</v>
      </c>
      <c r="C803">
        <f ca="1" t="shared" si="132"/>
        <v>0.37305408</v>
      </c>
      <c r="D803">
        <f ca="1" t="shared" si="133"/>
        <v>5</v>
      </c>
      <c r="E803">
        <f ca="1" t="shared" si="134"/>
        <v>3</v>
      </c>
      <c r="F803">
        <f ca="1" t="shared" si="135"/>
        <v>0.640185671552</v>
      </c>
      <c r="G803">
        <f ca="1" t="shared" si="136"/>
        <v>0.084571359936</v>
      </c>
      <c r="H803">
        <f ca="1" t="shared" si="137"/>
        <v>0.904077910176</v>
      </c>
      <c r="I803">
        <f ca="1" t="shared" si="138"/>
        <v>2152</v>
      </c>
      <c r="J803">
        <f ca="1" t="shared" si="139"/>
        <v>293</v>
      </c>
      <c r="K803">
        <f ca="1" t="shared" si="140"/>
        <v>38716</v>
      </c>
      <c r="L803">
        <f ca="1" t="shared" si="141"/>
        <v>5484</v>
      </c>
      <c r="M803">
        <f ca="1" t="shared" si="142"/>
        <v>0.028834415712</v>
      </c>
    </row>
    <row r="804" spans="1:13">
      <c r="A804" t="str">
        <f ca="1">OFFSET($N$2,(ROW(804:804)-2)/35,0)</f>
        <v>四川省</v>
      </c>
      <c r="B804">
        <f ca="1">OFFSET($O$1,0,MOD(ROW(804:804)-2,35))</f>
        <v>2022</v>
      </c>
      <c r="C804">
        <f ca="1" t="shared" si="132"/>
        <v>0.37770768</v>
      </c>
      <c r="D804">
        <f ca="1" t="shared" si="133"/>
        <v>6</v>
      </c>
      <c r="E804">
        <f ca="1" t="shared" si="134"/>
        <v>3</v>
      </c>
      <c r="F804">
        <f ca="1" t="shared" si="135"/>
        <v>0.744058949088</v>
      </c>
      <c r="G804">
        <f ca="1" t="shared" si="136"/>
        <v>0.0856433279016</v>
      </c>
      <c r="H804">
        <f ca="1" t="shared" si="137"/>
        <v>0.841985960256</v>
      </c>
      <c r="I804">
        <f ca="1" t="shared" si="138"/>
        <v>1611</v>
      </c>
      <c r="J804">
        <f ca="1" t="shared" si="139"/>
        <v>282</v>
      </c>
      <c r="K804">
        <f ca="1" t="shared" si="140"/>
        <v>24967</v>
      </c>
      <c r="L804">
        <f ca="1" t="shared" si="141"/>
        <v>5483</v>
      </c>
      <c r="M804">
        <f ca="1" t="shared" si="142"/>
        <v>0.0299041961904</v>
      </c>
    </row>
    <row r="805" spans="1:13">
      <c r="A805" t="str">
        <f ca="1">OFFSET($N$2,(ROW(805:805)-2)/35,0)</f>
        <v>四川省</v>
      </c>
      <c r="B805">
        <f ca="1">OFFSET($O$1,0,MOD(ROW(805:805)-2,35))</f>
        <v>2023</v>
      </c>
      <c r="C805">
        <f ca="1" t="shared" si="132"/>
        <v>0.36690696</v>
      </c>
      <c r="D805">
        <f ca="1" t="shared" si="133"/>
        <v>6</v>
      </c>
      <c r="E805">
        <f ca="1" t="shared" si="134"/>
        <v>3</v>
      </c>
      <c r="F805">
        <f ca="1" t="shared" si="135"/>
        <v>0.68470953852</v>
      </c>
      <c r="G805">
        <f ca="1" t="shared" si="136"/>
        <v>0.0864396107064</v>
      </c>
      <c r="H805">
        <f ca="1" t="shared" si="137"/>
        <v>0.789620468616</v>
      </c>
      <c r="I805">
        <f ca="1" t="shared" si="138"/>
        <v>1539</v>
      </c>
      <c r="J805">
        <f ca="1" t="shared" si="139"/>
        <v>247</v>
      </c>
      <c r="K805">
        <f ca="1" t="shared" si="140"/>
        <v>42437</v>
      </c>
      <c r="L805">
        <f ca="1" t="shared" si="141"/>
        <v>5593</v>
      </c>
      <c r="M805">
        <f ca="1" t="shared" si="142"/>
        <v>0.030731078664</v>
      </c>
    </row>
    <row r="806" spans="1:13">
      <c r="A806" t="str">
        <f ca="1">OFFSET($N$2,(ROW(806:806)-2)/35,0)</f>
        <v>四川省</v>
      </c>
      <c r="B806">
        <f ca="1">OFFSET($O$1,0,MOD(ROW(806:806)-2,35))</f>
        <v>2024</v>
      </c>
      <c r="C806">
        <f ca="1" t="shared" si="132"/>
        <v>0.3932544</v>
      </c>
      <c r="D806">
        <f ca="1" t="shared" si="133"/>
        <v>7</v>
      </c>
      <c r="E806">
        <f ca="1" t="shared" si="134"/>
        <v>3</v>
      </c>
      <c r="F806">
        <f ca="1" t="shared" si="135"/>
        <v>0.70632422784</v>
      </c>
      <c r="G806">
        <f ca="1" t="shared" si="136"/>
        <v>0.087447980928</v>
      </c>
      <c r="H806">
        <f ca="1" t="shared" si="137"/>
        <v>0.849921072</v>
      </c>
      <c r="I806">
        <f ca="1" t="shared" si="138"/>
        <v>2330</v>
      </c>
      <c r="J806">
        <f ca="1" t="shared" si="139"/>
        <v>349</v>
      </c>
      <c r="K806">
        <f ca="1" t="shared" si="140"/>
        <v>36370</v>
      </c>
      <c r="L806">
        <f ca="1" t="shared" si="141"/>
        <v>4661</v>
      </c>
      <c r="M806">
        <f ca="1" t="shared" si="142"/>
        <v>0.03328055808</v>
      </c>
    </row>
    <row r="807" spans="1:13">
      <c r="A807" t="str">
        <f ca="1">OFFSET($N$2,(ROW(807:807)-2)/35,0)</f>
        <v>贵州省</v>
      </c>
      <c r="B807">
        <f ca="1">OFFSET($O$1,0,MOD(ROW(807:807)-2,35))</f>
        <v>1990</v>
      </c>
      <c r="C807">
        <f ca="1" t="shared" si="132"/>
        <v>0.0628908</v>
      </c>
      <c r="D807">
        <f ca="1" t="shared" si="133"/>
        <v>1</v>
      </c>
      <c r="E807">
        <f ca="1" t="shared" si="134"/>
        <v>0</v>
      </c>
      <c r="F807">
        <f ca="1" t="shared" si="135"/>
        <v>0.11927030584</v>
      </c>
      <c r="G807">
        <f ca="1" t="shared" si="136"/>
        <v>0.014373063432</v>
      </c>
      <c r="H807">
        <f ca="1" t="shared" si="137"/>
        <v>0.14692234242</v>
      </c>
      <c r="I807">
        <f ca="1" t="shared" si="138"/>
        <v>347</v>
      </c>
      <c r="J807">
        <f ca="1" t="shared" si="139"/>
        <v>10</v>
      </c>
      <c r="K807">
        <f ca="1" t="shared" si="140"/>
        <v>6478</v>
      </c>
      <c r="L807">
        <f ca="1" t="shared" si="141"/>
        <v>1132</v>
      </c>
      <c r="M807">
        <f ca="1" t="shared" si="142"/>
        <v>0.00483225954</v>
      </c>
    </row>
    <row r="808" spans="1:13">
      <c r="A808" t="str">
        <f ca="1">OFFSET($N$2,(ROW(808:808)-2)/35,0)</f>
        <v>贵州省</v>
      </c>
      <c r="B808">
        <f ca="1">OFFSET($O$1,0,MOD(ROW(808:808)-2,35))</f>
        <v>1991</v>
      </c>
      <c r="C808">
        <f ca="1" t="shared" si="132"/>
        <v>0.06900432</v>
      </c>
      <c r="D808">
        <f ca="1" t="shared" si="133"/>
        <v>1</v>
      </c>
      <c r="E808">
        <f ca="1" t="shared" si="134"/>
        <v>0</v>
      </c>
      <c r="F808">
        <f ca="1" t="shared" si="135"/>
        <v>0.122570073472</v>
      </c>
      <c r="G808">
        <f ca="1" t="shared" si="136"/>
        <v>0.0146354712504</v>
      </c>
      <c r="H808">
        <f ca="1" t="shared" si="137"/>
        <v>0.169081285296</v>
      </c>
      <c r="I808">
        <f ca="1" t="shared" si="138"/>
        <v>386</v>
      </c>
      <c r="J808">
        <f ca="1" t="shared" si="139"/>
        <v>13</v>
      </c>
      <c r="K808">
        <f ca="1" t="shared" si="140"/>
        <v>5707</v>
      </c>
      <c r="L808">
        <f ca="1" t="shared" si="141"/>
        <v>1226</v>
      </c>
      <c r="M808">
        <f ca="1" t="shared" si="142"/>
        <v>0.005267986944</v>
      </c>
    </row>
    <row r="809" spans="1:13">
      <c r="A809" t="str">
        <f ca="1">OFFSET($N$2,(ROW(809:809)-2)/35,0)</f>
        <v>贵州省</v>
      </c>
      <c r="B809">
        <f ca="1">OFFSET($O$1,0,MOD(ROW(809:809)-2,35))</f>
        <v>1992</v>
      </c>
      <c r="C809">
        <f ca="1" t="shared" si="132"/>
        <v>0.07614432</v>
      </c>
      <c r="D809">
        <f ca="1" t="shared" si="133"/>
        <v>1</v>
      </c>
      <c r="E809">
        <f ca="1" t="shared" si="134"/>
        <v>1</v>
      </c>
      <c r="F809">
        <f ca="1" t="shared" si="135"/>
        <v>0.151359679296</v>
      </c>
      <c r="G809">
        <f ca="1" t="shared" si="136"/>
        <v>0.0186576427296</v>
      </c>
      <c r="H809">
        <f ca="1" t="shared" si="137"/>
        <v>0.181592781552</v>
      </c>
      <c r="I809">
        <f ca="1" t="shared" si="138"/>
        <v>437</v>
      </c>
      <c r="J809">
        <f ca="1" t="shared" si="139"/>
        <v>9</v>
      </c>
      <c r="K809">
        <f ca="1" t="shared" si="140"/>
        <v>6935</v>
      </c>
      <c r="L809">
        <f ca="1" t="shared" si="141"/>
        <v>781</v>
      </c>
      <c r="M809">
        <f ca="1" t="shared" si="142"/>
        <v>0.0057224632032</v>
      </c>
    </row>
    <row r="810" spans="1:13">
      <c r="A810" t="str">
        <f ca="1">OFFSET($N$2,(ROW(810:810)-2)/35,0)</f>
        <v>贵州省</v>
      </c>
      <c r="B810">
        <f ca="1">OFFSET($O$1,0,MOD(ROW(810:810)-2,35))</f>
        <v>1993</v>
      </c>
      <c r="C810">
        <f ca="1" t="shared" si="132"/>
        <v>0.08466276</v>
      </c>
      <c r="D810">
        <f ca="1" t="shared" si="133"/>
        <v>2</v>
      </c>
      <c r="E810">
        <f ca="1" t="shared" si="134"/>
        <v>1</v>
      </c>
      <c r="F810">
        <f ca="1" t="shared" si="135"/>
        <v>0.153411743212</v>
      </c>
      <c r="G810">
        <f ca="1" t="shared" si="136"/>
        <v>0.017709332823</v>
      </c>
      <c r="H810">
        <f ca="1" t="shared" si="137"/>
        <v>0.20755075614</v>
      </c>
      <c r="I810">
        <f ca="1" t="shared" si="138"/>
        <v>487</v>
      </c>
      <c r="J810">
        <f ca="1" t="shared" si="139"/>
        <v>15</v>
      </c>
      <c r="K810">
        <f ca="1" t="shared" si="140"/>
        <v>6876</v>
      </c>
      <c r="L810">
        <f ca="1" t="shared" si="141"/>
        <v>1399</v>
      </c>
      <c r="M810">
        <f ca="1" t="shared" si="142"/>
        <v>0.0072033495144</v>
      </c>
    </row>
    <row r="811" spans="1:13">
      <c r="A811" t="str">
        <f ca="1">OFFSET($N$2,(ROW(811:811)-2)/35,0)</f>
        <v>贵州省</v>
      </c>
      <c r="B811">
        <f ca="1">OFFSET($O$1,0,MOD(ROW(811:811)-2,35))</f>
        <v>1994</v>
      </c>
      <c r="C811">
        <f ca="1" t="shared" si="132"/>
        <v>0.08945832</v>
      </c>
      <c r="D811">
        <f ca="1" t="shared" si="133"/>
        <v>2</v>
      </c>
      <c r="E811">
        <f ca="1" t="shared" si="134"/>
        <v>1</v>
      </c>
      <c r="F811">
        <f ca="1" t="shared" si="135"/>
        <v>0.168187605488</v>
      </c>
      <c r="G811">
        <f ca="1" t="shared" si="136"/>
        <v>0.019812781422</v>
      </c>
      <c r="H811">
        <f ca="1" t="shared" si="137"/>
        <v>0.203164317636</v>
      </c>
      <c r="I811">
        <f ca="1" t="shared" si="138"/>
        <v>519</v>
      </c>
      <c r="J811">
        <f ca="1" t="shared" si="139"/>
        <v>16</v>
      </c>
      <c r="K811">
        <f ca="1" t="shared" si="140"/>
        <v>9398</v>
      </c>
      <c r="L811">
        <f ca="1" t="shared" si="141"/>
        <v>1513</v>
      </c>
      <c r="M811">
        <f ca="1" t="shared" si="142"/>
        <v>0.0070599228168</v>
      </c>
    </row>
    <row r="812" spans="1:13">
      <c r="A812" t="str">
        <f ca="1">OFFSET($N$2,(ROW(812:812)-2)/35,0)</f>
        <v>贵州省</v>
      </c>
      <c r="B812">
        <f ca="1">OFFSET($O$1,0,MOD(ROW(812:812)-2,35))</f>
        <v>1995</v>
      </c>
      <c r="C812">
        <f ca="1" t="shared" si="132"/>
        <v>0.0890694</v>
      </c>
      <c r="D812">
        <f ca="1" t="shared" si="133"/>
        <v>2</v>
      </c>
      <c r="E812">
        <f ca="1" t="shared" si="134"/>
        <v>1</v>
      </c>
      <c r="F812">
        <f ca="1" t="shared" si="135"/>
        <v>0.1668715209</v>
      </c>
      <c r="G812">
        <f ca="1" t="shared" si="136"/>
        <v>0.021712447638</v>
      </c>
      <c r="H812">
        <f ca="1" t="shared" si="137"/>
        <v>0.21043091097</v>
      </c>
      <c r="I812">
        <f ca="1" t="shared" si="138"/>
        <v>375</v>
      </c>
      <c r="J812">
        <f ca="1" t="shared" si="139"/>
        <v>13</v>
      </c>
      <c r="K812">
        <f ca="1" t="shared" si="140"/>
        <v>9532</v>
      </c>
      <c r="L812">
        <f ca="1" t="shared" si="141"/>
        <v>1299</v>
      </c>
      <c r="M812">
        <f ca="1" t="shared" si="142"/>
        <v>0.007333974396</v>
      </c>
    </row>
    <row r="813" spans="1:13">
      <c r="A813" t="str">
        <f ca="1">OFFSET($N$2,(ROW(813:813)-2)/35,0)</f>
        <v>贵州省</v>
      </c>
      <c r="B813">
        <f ca="1">OFFSET($O$1,0,MOD(ROW(813:813)-2,35))</f>
        <v>1996</v>
      </c>
      <c r="C813">
        <f ca="1" t="shared" si="132"/>
        <v>0.09580032</v>
      </c>
      <c r="D813">
        <f ca="1" t="shared" si="133"/>
        <v>2</v>
      </c>
      <c r="E813">
        <f ca="1" t="shared" si="134"/>
        <v>1</v>
      </c>
      <c r="F813">
        <f ca="1" t="shared" si="135"/>
        <v>0.183815267328</v>
      </c>
      <c r="G813">
        <f ca="1" t="shared" si="136"/>
        <v>0.0224349979392</v>
      </c>
      <c r="H813">
        <f ca="1" t="shared" si="137"/>
        <v>0.2208197376</v>
      </c>
      <c r="I813">
        <f ca="1" t="shared" si="138"/>
        <v>562</v>
      </c>
      <c r="J813">
        <f ca="1" t="shared" si="139"/>
        <v>14</v>
      </c>
      <c r="K813">
        <f ca="1" t="shared" si="140"/>
        <v>8392</v>
      </c>
      <c r="L813">
        <f ca="1" t="shared" si="141"/>
        <v>1571</v>
      </c>
      <c r="M813">
        <f ca="1" t="shared" si="142"/>
        <v>0.0074617500672</v>
      </c>
    </row>
    <row r="814" spans="1:13">
      <c r="A814" t="str">
        <f ca="1">OFFSET($N$2,(ROW(814:814)-2)/35,0)</f>
        <v>贵州省</v>
      </c>
      <c r="B814">
        <f ca="1">OFFSET($O$1,0,MOD(ROW(814:814)-2,35))</f>
        <v>1997</v>
      </c>
      <c r="C814">
        <f ca="1" t="shared" si="132"/>
        <v>0.11058432</v>
      </c>
      <c r="D814">
        <f ca="1" t="shared" si="133"/>
        <v>2</v>
      </c>
      <c r="E814">
        <f ca="1" t="shared" si="134"/>
        <v>1</v>
      </c>
      <c r="F814">
        <f ca="1" t="shared" si="135"/>
        <v>0.21541825536</v>
      </c>
      <c r="G814">
        <f ca="1" t="shared" si="136"/>
        <v>0.0271362862848</v>
      </c>
      <c r="H814">
        <f ca="1" t="shared" si="137"/>
        <v>0.23242059456</v>
      </c>
      <c r="I814">
        <f ca="1" t="shared" si="138"/>
        <v>649</v>
      </c>
      <c r="J814">
        <f ca="1" t="shared" si="139"/>
        <v>14</v>
      </c>
      <c r="K814">
        <f ca="1" t="shared" si="140"/>
        <v>12895</v>
      </c>
      <c r="L814">
        <f ca="1" t="shared" si="141"/>
        <v>1746</v>
      </c>
      <c r="M814">
        <f ca="1" t="shared" si="142"/>
        <v>0.0086914536192</v>
      </c>
    </row>
    <row r="815" spans="1:13">
      <c r="A815" t="str">
        <f ca="1">OFFSET($N$2,(ROW(815:815)-2)/35,0)</f>
        <v>贵州省</v>
      </c>
      <c r="B815">
        <f ca="1">OFFSET($O$1,0,MOD(ROW(815:815)-2,35))</f>
        <v>1998</v>
      </c>
      <c r="C815">
        <f ca="1" t="shared" si="132"/>
        <v>0.11411064</v>
      </c>
      <c r="D815">
        <f ca="1" t="shared" si="133"/>
        <v>2</v>
      </c>
      <c r="E815">
        <f ca="1" t="shared" si="134"/>
        <v>1</v>
      </c>
      <c r="F815">
        <f ca="1" t="shared" si="135"/>
        <v>0.196662080664</v>
      </c>
      <c r="G815">
        <f ca="1" t="shared" si="136"/>
        <v>0.023210104176</v>
      </c>
      <c r="H815">
        <f ca="1" t="shared" si="137"/>
        <v>0.26014373154</v>
      </c>
      <c r="I815">
        <f ca="1" t="shared" si="138"/>
        <v>511</v>
      </c>
      <c r="J815">
        <f ca="1" t="shared" si="139"/>
        <v>19</v>
      </c>
      <c r="K815">
        <f ca="1" t="shared" si="140"/>
        <v>11280</v>
      </c>
      <c r="L815">
        <f ca="1" t="shared" si="141"/>
        <v>2161</v>
      </c>
      <c r="M815">
        <f ca="1" t="shared" si="142"/>
        <v>0.0094072811616</v>
      </c>
    </row>
    <row r="816" spans="1:13">
      <c r="A816" t="str">
        <f ca="1">OFFSET($N$2,(ROW(816:816)-2)/35,0)</f>
        <v>贵州省</v>
      </c>
      <c r="B816">
        <f ca="1">OFFSET($O$1,0,MOD(ROW(816:816)-2,35))</f>
        <v>1999</v>
      </c>
      <c r="C816">
        <f ca="1" t="shared" si="132"/>
        <v>0.11537484</v>
      </c>
      <c r="D816">
        <f ca="1" t="shared" si="133"/>
        <v>2</v>
      </c>
      <c r="E816">
        <f ca="1" t="shared" si="134"/>
        <v>1</v>
      </c>
      <c r="F816">
        <f ca="1" t="shared" si="135"/>
        <v>0.219554474692</v>
      </c>
      <c r="G816">
        <f ca="1" t="shared" si="136"/>
        <v>0.023074968</v>
      </c>
      <c r="H816">
        <f ca="1" t="shared" si="137"/>
        <v>0.243688968306</v>
      </c>
      <c r="I816">
        <f ca="1" t="shared" si="138"/>
        <v>626</v>
      </c>
      <c r="J816">
        <f ca="1" t="shared" si="139"/>
        <v>14</v>
      </c>
      <c r="K816">
        <f ca="1" t="shared" si="140"/>
        <v>12530</v>
      </c>
      <c r="L816">
        <f ca="1" t="shared" si="141"/>
        <v>1989</v>
      </c>
      <c r="M816">
        <f ca="1" t="shared" si="142"/>
        <v>0.0085192781856</v>
      </c>
    </row>
    <row r="817" spans="1:13">
      <c r="A817" t="str">
        <f ca="1">OFFSET($N$2,(ROW(817:817)-2)/35,0)</f>
        <v>贵州省</v>
      </c>
      <c r="B817">
        <f ca="1">OFFSET($O$1,0,MOD(ROW(817:817)-2,35))</f>
        <v>2000</v>
      </c>
      <c r="C817">
        <f ca="1" t="shared" si="132"/>
        <v>0.1335264</v>
      </c>
      <c r="D817">
        <f ca="1" t="shared" si="133"/>
        <v>2</v>
      </c>
      <c r="E817">
        <f ca="1" t="shared" si="134"/>
        <v>1</v>
      </c>
      <c r="F817">
        <f ca="1" t="shared" si="135"/>
        <v>0.25503097312</v>
      </c>
      <c r="G817">
        <f ca="1" t="shared" si="136"/>
        <v>0.030419984448</v>
      </c>
      <c r="H817">
        <f ca="1" t="shared" si="137"/>
        <v>0.2682879192</v>
      </c>
      <c r="I817">
        <f ca="1" t="shared" si="138"/>
        <v>641</v>
      </c>
      <c r="J817">
        <f ca="1" t="shared" si="139"/>
        <v>18</v>
      </c>
      <c r="K817">
        <f ca="1" t="shared" si="140"/>
        <v>12249</v>
      </c>
      <c r="L817">
        <f ca="1" t="shared" si="141"/>
        <v>2529</v>
      </c>
      <c r="M817">
        <f ca="1" t="shared" si="142"/>
        <v>0.0107917944</v>
      </c>
    </row>
    <row r="818" spans="1:13">
      <c r="A818" t="str">
        <f ca="1">OFFSET($N$2,(ROW(818:818)-2)/35,0)</f>
        <v>贵州省</v>
      </c>
      <c r="B818">
        <f ca="1">OFFSET($O$1,0,MOD(ROW(818:818)-2,35))</f>
        <v>2001</v>
      </c>
      <c r="C818">
        <f ca="1" t="shared" si="132"/>
        <v>0.12556152</v>
      </c>
      <c r="D818">
        <f ca="1" t="shared" si="133"/>
        <v>2</v>
      </c>
      <c r="E818">
        <f ca="1" t="shared" si="134"/>
        <v>1</v>
      </c>
      <c r="F818">
        <f ca="1" t="shared" si="135"/>
        <v>0.225336889176</v>
      </c>
      <c r="G818">
        <f ca="1" t="shared" si="136"/>
        <v>0.0272807514504</v>
      </c>
      <c r="H818">
        <f ca="1" t="shared" si="137"/>
        <v>0.266466657744</v>
      </c>
      <c r="I818">
        <f ca="1" t="shared" si="138"/>
        <v>597</v>
      </c>
      <c r="J818">
        <f ca="1" t="shared" si="139"/>
        <v>19</v>
      </c>
      <c r="K818">
        <f ca="1" t="shared" si="140"/>
        <v>9298</v>
      </c>
      <c r="L818">
        <f ca="1" t="shared" si="141"/>
        <v>2484</v>
      </c>
      <c r="M818">
        <f ca="1" t="shared" si="142"/>
        <v>0.0097259953392</v>
      </c>
    </row>
    <row r="819" spans="1:13">
      <c r="A819" t="str">
        <f ca="1">OFFSET($N$2,(ROW(819:819)-2)/35,0)</f>
        <v>贵州省</v>
      </c>
      <c r="B819">
        <f ca="1">OFFSET($O$1,0,MOD(ROW(819:819)-2,35))</f>
        <v>2002</v>
      </c>
      <c r="C819">
        <f ca="1" t="shared" si="132"/>
        <v>0.14140896</v>
      </c>
      <c r="D819">
        <f ca="1" t="shared" si="133"/>
        <v>3</v>
      </c>
      <c r="E819">
        <f ca="1" t="shared" si="134"/>
        <v>1</v>
      </c>
      <c r="F819">
        <f ca="1" t="shared" si="135"/>
        <v>0.240352809312</v>
      </c>
      <c r="G819">
        <f ca="1" t="shared" si="136"/>
        <v>0.0304757520144</v>
      </c>
      <c r="H819">
        <f ca="1" t="shared" si="137"/>
        <v>0.288735884976</v>
      </c>
      <c r="I819">
        <f ca="1" t="shared" si="138"/>
        <v>727</v>
      </c>
      <c r="J819">
        <f ca="1" t="shared" si="139"/>
        <v>15</v>
      </c>
      <c r="K819">
        <f ca="1" t="shared" si="140"/>
        <v>8998</v>
      </c>
      <c r="L819">
        <f ca="1" t="shared" si="141"/>
        <v>2399</v>
      </c>
      <c r="M819">
        <f ca="1" t="shared" si="142"/>
        <v>0.0120326904192</v>
      </c>
    </row>
    <row r="820" spans="1:13">
      <c r="A820" t="str">
        <f ca="1">OFFSET($N$2,(ROW(820:820)-2)/35,0)</f>
        <v>贵州省</v>
      </c>
      <c r="B820">
        <f ca="1">OFFSET($O$1,0,MOD(ROW(820:820)-2,35))</f>
        <v>2003</v>
      </c>
      <c r="C820">
        <f ca="1" t="shared" si="132"/>
        <v>0.13873692</v>
      </c>
      <c r="D820">
        <f ca="1" t="shared" si="133"/>
        <v>3</v>
      </c>
      <c r="E820">
        <f ca="1" t="shared" si="134"/>
        <v>1</v>
      </c>
      <c r="F820">
        <f ca="1" t="shared" si="135"/>
        <v>0.267216557048</v>
      </c>
      <c r="G820">
        <f ca="1" t="shared" si="136"/>
        <v>0.0284819959914</v>
      </c>
      <c r="H820">
        <f ca="1" t="shared" si="137"/>
        <v>0.2930817435</v>
      </c>
      <c r="I820">
        <f ca="1" t="shared" si="138"/>
        <v>584</v>
      </c>
      <c r="J820">
        <f ca="1" t="shared" si="139"/>
        <v>22</v>
      </c>
      <c r="K820">
        <f ca="1" t="shared" si="140"/>
        <v>15245</v>
      </c>
      <c r="L820">
        <f ca="1" t="shared" si="141"/>
        <v>1660</v>
      </c>
      <c r="M820">
        <f ca="1" t="shared" si="142"/>
        <v>0.010839317364</v>
      </c>
    </row>
    <row r="821" spans="1:13">
      <c r="A821" t="str">
        <f ca="1">OFFSET($N$2,(ROW(821:821)-2)/35,0)</f>
        <v>贵州省</v>
      </c>
      <c r="B821">
        <f ca="1">OFFSET($O$1,0,MOD(ROW(821:821)-2,35))</f>
        <v>2004</v>
      </c>
      <c r="C821">
        <f ca="1" t="shared" si="132"/>
        <v>0.1578528</v>
      </c>
      <c r="D821">
        <f ca="1" t="shared" si="133"/>
        <v>3</v>
      </c>
      <c r="E821">
        <f ca="1" t="shared" si="134"/>
        <v>1</v>
      </c>
      <c r="F821">
        <f ca="1" t="shared" si="135"/>
        <v>0.28357729344</v>
      </c>
      <c r="G821">
        <f ca="1" t="shared" si="136"/>
        <v>0.03606541848</v>
      </c>
      <c r="H821">
        <f ca="1" t="shared" si="137"/>
        <v>0.34225644096</v>
      </c>
      <c r="I821">
        <f ca="1" t="shared" si="138"/>
        <v>804</v>
      </c>
      <c r="J821">
        <f ca="1" t="shared" si="139"/>
        <v>24</v>
      </c>
      <c r="K821">
        <f ca="1" t="shared" si="140"/>
        <v>11986</v>
      </c>
      <c r="L821">
        <f ca="1" t="shared" si="141"/>
        <v>3145</v>
      </c>
      <c r="M821">
        <f ca="1" t="shared" si="142"/>
        <v>0.012988804896</v>
      </c>
    </row>
    <row r="822" spans="1:13">
      <c r="A822" t="str">
        <f ca="1">OFFSET($N$2,(ROW(822:822)-2)/35,0)</f>
        <v>贵州省</v>
      </c>
      <c r="B822">
        <f ca="1">OFFSET($O$1,0,MOD(ROW(822:822)-2,35))</f>
        <v>2005</v>
      </c>
      <c r="C822">
        <f ca="1" t="shared" si="132"/>
        <v>0.163191</v>
      </c>
      <c r="D822">
        <f ca="1" t="shared" si="133"/>
        <v>4</v>
      </c>
      <c r="E822">
        <f ca="1" t="shared" si="134"/>
        <v>2</v>
      </c>
      <c r="F822">
        <f ca="1" t="shared" si="135"/>
        <v>0.3052106876</v>
      </c>
      <c r="G822">
        <f ca="1" t="shared" si="136"/>
        <v>0.04048115946</v>
      </c>
      <c r="H822">
        <f ca="1" t="shared" si="137"/>
        <v>0.4001932893</v>
      </c>
      <c r="I822">
        <f ca="1" t="shared" si="138"/>
        <v>902</v>
      </c>
      <c r="J822">
        <f ca="1" t="shared" si="139"/>
        <v>18</v>
      </c>
      <c r="K822">
        <f ca="1" t="shared" si="140"/>
        <v>15347</v>
      </c>
      <c r="L822">
        <f ca="1" t="shared" si="141"/>
        <v>2542</v>
      </c>
      <c r="M822">
        <f ca="1" t="shared" si="142"/>
        <v>0.01237990239</v>
      </c>
    </row>
    <row r="823" spans="1:13">
      <c r="A823" t="str">
        <f ca="1">OFFSET($N$2,(ROW(823:823)-2)/35,0)</f>
        <v>贵州省</v>
      </c>
      <c r="B823">
        <f ca="1">OFFSET($O$1,0,MOD(ROW(823:823)-2,35))</f>
        <v>2006</v>
      </c>
      <c r="C823">
        <f ca="1" t="shared" si="132"/>
        <v>0.15676752</v>
      </c>
      <c r="D823">
        <f ca="1" t="shared" si="133"/>
        <v>4</v>
      </c>
      <c r="E823">
        <f ca="1" t="shared" si="134"/>
        <v>2</v>
      </c>
      <c r="F823">
        <f ca="1" t="shared" si="135"/>
        <v>0.269598329728</v>
      </c>
      <c r="G823">
        <f ca="1" t="shared" si="136"/>
        <v>0.0318222388848</v>
      </c>
      <c r="H823">
        <f ca="1" t="shared" si="137"/>
        <v>0.363128444952</v>
      </c>
      <c r="I823">
        <f ca="1" t="shared" si="138"/>
        <v>847</v>
      </c>
      <c r="J823">
        <f ca="1" t="shared" si="139"/>
        <v>28</v>
      </c>
      <c r="K823">
        <f ca="1" t="shared" si="140"/>
        <v>15691</v>
      </c>
      <c r="L823">
        <f ca="1" t="shared" si="141"/>
        <v>2888</v>
      </c>
      <c r="M823">
        <f ca="1" t="shared" si="142"/>
        <v>0.011558245296</v>
      </c>
    </row>
    <row r="824" spans="1:13">
      <c r="A824" t="str">
        <f ca="1">OFFSET($N$2,(ROW(824:824)-2)/35,0)</f>
        <v>贵州省</v>
      </c>
      <c r="B824">
        <f ca="1">OFFSET($O$1,0,MOD(ROW(824:824)-2,35))</f>
        <v>2007</v>
      </c>
      <c r="C824">
        <f ca="1" t="shared" si="132"/>
        <v>0.1640898</v>
      </c>
      <c r="D824">
        <f ca="1" t="shared" si="133"/>
        <v>4</v>
      </c>
      <c r="E824">
        <f ca="1" t="shared" si="134"/>
        <v>2</v>
      </c>
      <c r="F824">
        <f ca="1" t="shared" si="135"/>
        <v>0.30093522354</v>
      </c>
      <c r="G824">
        <f ca="1" t="shared" si="136"/>
        <v>0.039336427305</v>
      </c>
      <c r="H824">
        <f ca="1" t="shared" si="137"/>
        <v>0.4094860959</v>
      </c>
      <c r="I824">
        <f ca="1" t="shared" si="138"/>
        <v>764</v>
      </c>
      <c r="J824">
        <f ca="1" t="shared" si="139"/>
        <v>24</v>
      </c>
      <c r="K824">
        <f ca="1" t="shared" si="140"/>
        <v>18706</v>
      </c>
      <c r="L824">
        <f ca="1" t="shared" si="141"/>
        <v>3248</v>
      </c>
      <c r="M824">
        <f ca="1" t="shared" si="142"/>
        <v>0.01200668508</v>
      </c>
    </row>
    <row r="825" spans="1:13">
      <c r="A825" t="str">
        <f ca="1">OFFSET($N$2,(ROW(825:825)-2)/35,0)</f>
        <v>贵州省</v>
      </c>
      <c r="B825">
        <f ca="1">OFFSET($O$1,0,MOD(ROW(825:825)-2,35))</f>
        <v>2008</v>
      </c>
      <c r="C825">
        <f ca="1" t="shared" si="132"/>
        <v>0.17505936</v>
      </c>
      <c r="D825">
        <f ca="1" t="shared" si="133"/>
        <v>4</v>
      </c>
      <c r="E825">
        <f ca="1" t="shared" si="134"/>
        <v>2</v>
      </c>
      <c r="F825">
        <f ca="1" t="shared" si="135"/>
        <v>0.291864800304</v>
      </c>
      <c r="G825">
        <f ca="1" t="shared" si="136"/>
        <v>0.0351396653328</v>
      </c>
      <c r="H825">
        <f ca="1" t="shared" si="137"/>
        <v>0.405341195112</v>
      </c>
      <c r="I825">
        <f ca="1" t="shared" si="138"/>
        <v>785</v>
      </c>
      <c r="J825">
        <f ca="1" t="shared" si="139"/>
        <v>24</v>
      </c>
      <c r="K825">
        <f ca="1" t="shared" si="140"/>
        <v>17901</v>
      </c>
      <c r="L825">
        <f ca="1" t="shared" si="141"/>
        <v>2354</v>
      </c>
      <c r="M825">
        <f ca="1" t="shared" si="142"/>
        <v>0.0145229245056</v>
      </c>
    </row>
    <row r="826" spans="1:13">
      <c r="A826" t="str">
        <f ca="1">OFFSET($N$2,(ROW(826:826)-2)/35,0)</f>
        <v>贵州省</v>
      </c>
      <c r="B826">
        <f ca="1">OFFSET($O$1,0,MOD(ROW(826:826)-2,35))</f>
        <v>2009</v>
      </c>
      <c r="C826">
        <f ca="1" t="shared" si="132"/>
        <v>0.17432016</v>
      </c>
      <c r="D826">
        <f ca="1" t="shared" si="133"/>
        <v>5</v>
      </c>
      <c r="E826">
        <f ca="1" t="shared" si="134"/>
        <v>2</v>
      </c>
      <c r="F826">
        <f ca="1" t="shared" si="135"/>
        <v>0.324839807488</v>
      </c>
      <c r="G826">
        <f ca="1" t="shared" si="136"/>
        <v>0.0384925061304</v>
      </c>
      <c r="H826">
        <f ca="1" t="shared" si="137"/>
        <v>0.361914800184</v>
      </c>
      <c r="I826">
        <f ca="1" t="shared" si="138"/>
        <v>797</v>
      </c>
      <c r="J826">
        <f ca="1" t="shared" si="139"/>
        <v>21</v>
      </c>
      <c r="K826">
        <f ca="1" t="shared" si="140"/>
        <v>10554</v>
      </c>
      <c r="L826">
        <f ca="1" t="shared" si="141"/>
        <v>2410</v>
      </c>
      <c r="M826">
        <f ca="1" t="shared" si="142"/>
        <v>0.0146817419328</v>
      </c>
    </row>
    <row r="827" spans="1:13">
      <c r="A827" t="str">
        <f ca="1">OFFSET($N$2,(ROW(827:827)-2)/35,0)</f>
        <v>贵州省</v>
      </c>
      <c r="B827">
        <f ca="1">OFFSET($O$1,0,MOD(ROW(827:827)-2,35))</f>
        <v>2010</v>
      </c>
      <c r="C827">
        <f ca="1" t="shared" si="132"/>
        <v>0.1899576</v>
      </c>
      <c r="D827">
        <f ca="1" t="shared" si="133"/>
        <v>5</v>
      </c>
      <c r="E827">
        <f ca="1" t="shared" si="134"/>
        <v>2</v>
      </c>
      <c r="F827">
        <f ca="1" t="shared" si="135"/>
        <v>0.36442732368</v>
      </c>
      <c r="G827">
        <f ca="1" t="shared" si="136"/>
        <v>0.042120248436</v>
      </c>
      <c r="H827">
        <f ca="1" t="shared" si="137"/>
        <v>0.42636933108</v>
      </c>
      <c r="I827">
        <f ca="1" t="shared" si="138"/>
        <v>871</v>
      </c>
      <c r="J827">
        <f ca="1" t="shared" si="139"/>
        <v>35</v>
      </c>
      <c r="K827">
        <f ca="1" t="shared" si="140"/>
        <v>20745</v>
      </c>
      <c r="L827">
        <f ca="1" t="shared" si="141"/>
        <v>2874</v>
      </c>
      <c r="M827">
        <f ca="1" t="shared" si="142"/>
        <v>0.016252772256</v>
      </c>
    </row>
    <row r="828" spans="1:13">
      <c r="A828" t="str">
        <f ca="1">OFFSET($N$2,(ROW(828:828)-2)/35,0)</f>
        <v>贵州省</v>
      </c>
      <c r="B828">
        <f ca="1">OFFSET($O$1,0,MOD(ROW(828:828)-2,35))</f>
        <v>2011</v>
      </c>
      <c r="C828">
        <f ca="1" t="shared" si="132"/>
        <v>0.1895712</v>
      </c>
      <c r="D828">
        <f ca="1" t="shared" si="133"/>
        <v>6</v>
      </c>
      <c r="E828">
        <f ca="1" t="shared" si="134"/>
        <v>2</v>
      </c>
      <c r="F828">
        <f ca="1" t="shared" si="135"/>
        <v>0.31741169824</v>
      </c>
      <c r="G828">
        <f ca="1" t="shared" si="136"/>
        <v>0.043192850064</v>
      </c>
      <c r="H828">
        <f ca="1" t="shared" si="137"/>
        <v>0.38335088064</v>
      </c>
      <c r="I828">
        <f ca="1" t="shared" si="138"/>
        <v>770</v>
      </c>
      <c r="J828">
        <f ca="1" t="shared" si="139"/>
        <v>26</v>
      </c>
      <c r="K828">
        <f ca="1" t="shared" si="140"/>
        <v>15533</v>
      </c>
      <c r="L828">
        <f ca="1" t="shared" si="141"/>
        <v>2842</v>
      </c>
      <c r="M828">
        <f ca="1" t="shared" si="142"/>
        <v>0.01585492272</v>
      </c>
    </row>
    <row r="829" spans="1:13">
      <c r="A829" t="str">
        <f ca="1">OFFSET($N$2,(ROW(829:829)-2)/35,0)</f>
        <v>贵州省</v>
      </c>
      <c r="B829">
        <f ca="1">OFFSET($O$1,0,MOD(ROW(829:829)-2,35))</f>
        <v>2012</v>
      </c>
      <c r="C829">
        <f ca="1" t="shared" si="132"/>
        <v>0.19692288</v>
      </c>
      <c r="D829">
        <f ca="1" t="shared" si="133"/>
        <v>6</v>
      </c>
      <c r="E829">
        <f ca="1" t="shared" si="134"/>
        <v>2</v>
      </c>
      <c r="F829">
        <f ca="1" t="shared" si="135"/>
        <v>0.353785082112</v>
      </c>
      <c r="G829">
        <f ca="1" t="shared" si="136"/>
        <v>0.0395972527104</v>
      </c>
      <c r="H829">
        <f ca="1" t="shared" si="137"/>
        <v>0.465309073152</v>
      </c>
      <c r="I829">
        <f ca="1" t="shared" si="138"/>
        <v>1027</v>
      </c>
      <c r="J829">
        <f ca="1" t="shared" si="139"/>
        <v>30</v>
      </c>
      <c r="K829">
        <f ca="1" t="shared" si="140"/>
        <v>14223</v>
      </c>
      <c r="L829">
        <f ca="1" t="shared" si="141"/>
        <v>2071</v>
      </c>
      <c r="M829">
        <f ca="1" t="shared" si="142"/>
        <v>0.0164785065984</v>
      </c>
    </row>
    <row r="830" spans="1:13">
      <c r="A830" t="str">
        <f ca="1">OFFSET($N$2,(ROW(830:830)-2)/35,0)</f>
        <v>贵州省</v>
      </c>
      <c r="B830">
        <f ca="1">OFFSET($O$1,0,MOD(ROW(830:830)-2,35))</f>
        <v>2013</v>
      </c>
      <c r="C830">
        <f ca="1" t="shared" si="132"/>
        <v>0.19523196</v>
      </c>
      <c r="D830">
        <f ca="1" t="shared" si="133"/>
        <v>6</v>
      </c>
      <c r="E830">
        <f ca="1" t="shared" si="134"/>
        <v>2</v>
      </c>
      <c r="F830">
        <f ca="1" t="shared" si="135"/>
        <v>0.33924806916</v>
      </c>
      <c r="G830">
        <f ca="1" t="shared" si="136"/>
        <v>0.0404335150758</v>
      </c>
      <c r="H830">
        <f ca="1" t="shared" si="137"/>
        <v>0.413032734576</v>
      </c>
      <c r="I830">
        <f ca="1" t="shared" si="138"/>
        <v>895</v>
      </c>
      <c r="J830">
        <f ca="1" t="shared" si="139"/>
        <v>25</v>
      </c>
      <c r="K830">
        <f ca="1" t="shared" si="140"/>
        <v>19951</v>
      </c>
      <c r="L830">
        <f ca="1" t="shared" si="141"/>
        <v>2239</v>
      </c>
      <c r="M830">
        <f ca="1" t="shared" si="142"/>
        <v>0.014678654364</v>
      </c>
    </row>
    <row r="831" spans="1:13">
      <c r="A831" t="str">
        <f ca="1">OFFSET($N$2,(ROW(831:831)-2)/35,0)</f>
        <v>贵州省</v>
      </c>
      <c r="B831">
        <f ca="1">OFFSET($O$1,0,MOD(ROW(831:831)-2,35))</f>
        <v>2014</v>
      </c>
      <c r="C831">
        <f ca="1" t="shared" si="132"/>
        <v>0.20014848</v>
      </c>
      <c r="D831">
        <f ca="1" t="shared" si="133"/>
        <v>6</v>
      </c>
      <c r="E831">
        <f ca="1" t="shared" si="134"/>
        <v>2</v>
      </c>
      <c r="F831">
        <f ca="1" t="shared" si="135"/>
        <v>0.343601567232</v>
      </c>
      <c r="G831">
        <f ca="1" t="shared" si="136"/>
        <v>0.047745419904</v>
      </c>
      <c r="H831">
        <f ca="1" t="shared" si="137"/>
        <v>0.46754684928</v>
      </c>
      <c r="I831">
        <f ca="1" t="shared" si="138"/>
        <v>970</v>
      </c>
      <c r="J831">
        <f ca="1" t="shared" si="139"/>
        <v>34</v>
      </c>
      <c r="K831">
        <f ca="1" t="shared" si="140"/>
        <v>19776</v>
      </c>
      <c r="L831">
        <f ca="1" t="shared" si="141"/>
        <v>3366</v>
      </c>
      <c r="M831">
        <f ca="1" t="shared" si="142"/>
        <v>0.0148647416832</v>
      </c>
    </row>
    <row r="832" spans="1:13">
      <c r="A832" t="str">
        <f ca="1">OFFSET($N$2,(ROW(832:832)-2)/35,0)</f>
        <v>贵州省</v>
      </c>
      <c r="B832">
        <f ca="1">OFFSET($O$1,0,MOD(ROW(832:832)-2,35))</f>
        <v>2015</v>
      </c>
      <c r="C832">
        <f ca="1" t="shared" si="132"/>
        <v>0.2127972</v>
      </c>
      <c r="D832">
        <f ca="1" t="shared" si="133"/>
        <v>6</v>
      </c>
      <c r="E832">
        <f ca="1" t="shared" si="134"/>
        <v>2</v>
      </c>
      <c r="F832">
        <f ca="1" t="shared" si="135"/>
        <v>0.40284637932</v>
      </c>
      <c r="G832">
        <f ca="1" t="shared" si="136"/>
        <v>0.04524068472</v>
      </c>
      <c r="H832">
        <f ca="1" t="shared" si="137"/>
        <v>0.44686348014</v>
      </c>
      <c r="I832">
        <f ca="1" t="shared" si="138"/>
        <v>1045</v>
      </c>
      <c r="J832">
        <f ca="1" t="shared" si="139"/>
        <v>36</v>
      </c>
      <c r="K832">
        <f ca="1" t="shared" si="140"/>
        <v>21703</v>
      </c>
      <c r="L832">
        <f ca="1" t="shared" si="141"/>
        <v>2246</v>
      </c>
      <c r="M832">
        <f ca="1" t="shared" si="142"/>
        <v>0.017751238428</v>
      </c>
    </row>
    <row r="833" spans="1:13">
      <c r="A833" t="str">
        <f ca="1">OFFSET($N$2,(ROW(833:833)-2)/35,0)</f>
        <v>贵州省</v>
      </c>
      <c r="B833">
        <f ca="1">OFFSET($O$1,0,MOD(ROW(833:833)-2,35))</f>
        <v>2016</v>
      </c>
      <c r="C833">
        <f ca="1" t="shared" si="132"/>
        <v>0.21316176</v>
      </c>
      <c r="D833">
        <f ca="1" t="shared" si="133"/>
        <v>6</v>
      </c>
      <c r="E833">
        <f ca="1" t="shared" si="134"/>
        <v>2</v>
      </c>
      <c r="F833">
        <f ca="1" t="shared" si="135"/>
        <v>0.381083489136</v>
      </c>
      <c r="G833">
        <f ca="1" t="shared" si="136"/>
        <v>0.052901419788</v>
      </c>
      <c r="H833">
        <f ca="1" t="shared" si="137"/>
        <v>0.468348360984</v>
      </c>
      <c r="I833">
        <f ca="1" t="shared" si="138"/>
        <v>1206</v>
      </c>
      <c r="J833">
        <f ca="1" t="shared" si="139"/>
        <v>39</v>
      </c>
      <c r="K833">
        <f ca="1" t="shared" si="140"/>
        <v>15367</v>
      </c>
      <c r="L833">
        <f ca="1" t="shared" si="141"/>
        <v>3954</v>
      </c>
      <c r="M833">
        <f ca="1" t="shared" si="142"/>
        <v>0.018138543192</v>
      </c>
    </row>
    <row r="834" spans="1:13">
      <c r="A834" t="str">
        <f ca="1">OFFSET($N$2,(ROW(834:834)-2)/35,0)</f>
        <v>贵州省</v>
      </c>
      <c r="B834">
        <f ca="1">OFFSET($O$1,0,MOD(ROW(834:834)-2,35))</f>
        <v>2017</v>
      </c>
      <c r="C834">
        <f ca="1" t="shared" si="132"/>
        <v>0.22862448</v>
      </c>
      <c r="D834">
        <f ca="1" t="shared" si="133"/>
        <v>6</v>
      </c>
      <c r="E834">
        <f ca="1" t="shared" si="134"/>
        <v>2</v>
      </c>
      <c r="F834">
        <f ca="1" t="shared" si="135"/>
        <v>0.422033169264</v>
      </c>
      <c r="G834">
        <f ca="1" t="shared" si="136"/>
        <v>0.0519789186504</v>
      </c>
      <c r="H834">
        <f ca="1" t="shared" si="137"/>
        <v>0.54504076032</v>
      </c>
      <c r="I834">
        <f ca="1" t="shared" si="138"/>
        <v>1274</v>
      </c>
      <c r="J834">
        <f ca="1" t="shared" si="139"/>
        <v>42</v>
      </c>
      <c r="K834">
        <f ca="1" t="shared" si="140"/>
        <v>16772</v>
      </c>
      <c r="L834">
        <f ca="1" t="shared" si="141"/>
        <v>3474</v>
      </c>
      <c r="M834">
        <f ca="1" t="shared" si="142"/>
        <v>0.01668958704</v>
      </c>
    </row>
    <row r="835" spans="1:13">
      <c r="A835" t="str">
        <f ca="1">OFFSET($N$2,(ROW(835:835)-2)/35,0)</f>
        <v>贵州省</v>
      </c>
      <c r="B835">
        <f ca="1">OFFSET($O$1,0,MOD(ROW(835:835)-2,35))</f>
        <v>2018</v>
      </c>
      <c r="C835">
        <f ca="1" t="shared" ref="C835:C898" si="143">IF(OR(A835="北京市",A835="上海市",A835="广东省"),(B835-1980)*RANDBETWEEN(15000,16000)/500000,IF(OR(A835="西藏自治区",A835="新疆维吾尔自治区",A835="青海省",A835="广西壮族自治区",A835="内蒙古自治区",A835="宁夏回族自治区",A835="贵州省",A835="甘肃省",A835="陕西省",A835="云南省"),(B835-1980)*RANDBETWEEN(7000,8000)/500000,IF(OR(A835="浙江省",A835="江苏省",A835="山东省",A835="辽宁省"),(B835-1980)*RANDBETWEEN(13000,14000)/500000,(B835-1980)*RANDBETWEEN(10000,11000)/500000)))*0.42</f>
        <v>0.24725232</v>
      </c>
      <c r="D835">
        <f ca="1" t="shared" ref="D835:D898" si="144">IF($B835=1990,ROUND($C835*RANDBETWEEN(10000,20000)/500,0),ROUND(D834+RANDBETWEEN(0,5)/10,0))</f>
        <v>6</v>
      </c>
      <c r="E835">
        <f ca="1" t="shared" ref="E835:E898" si="145">IF($B835=1990,ROUND($C835*RANDBETWEEN(10000,20000)/5000,0),ROUND(E834+RANDBETWEEN(0,20)/40,0))</f>
        <v>2</v>
      </c>
      <c r="F835">
        <f ca="1" t="shared" ref="F835:F898" si="146">$C835*RANDBETWEEN(50000,60000)/30000</f>
        <v>0.472523908752</v>
      </c>
      <c r="G835">
        <f ca="1" t="shared" ref="G835:G898" si="147">$C835*RANDBETWEEN(40000,50000)/200000</f>
        <v>0.0563080070952</v>
      </c>
      <c r="H835">
        <f ca="1" t="shared" ref="H835:H898" si="148">$C835*RANDBETWEEN(40000,50000)/20000</f>
        <v>0.529898809608</v>
      </c>
      <c r="I835">
        <f ca="1" t="shared" ref="I835:I898" si="149">ROUND($C835*RANDBETWEEN(20000,30000)/5,0)</f>
        <v>1078</v>
      </c>
      <c r="J835">
        <f ca="1" t="shared" ref="J835:J898" si="150">IF(B835&lt;2015,ROUND($C835*RANDBETWEEN(10000,20000)/100,0),IF(B835&lt;2018,ROUND($C835*RANDBETWEEN(10000,20000)/70,0),ROUND($C835*RANDBETWEEN(10000,20000)/20,0)))</f>
        <v>205</v>
      </c>
      <c r="K835">
        <f ca="1" t="shared" ref="K835:K898" si="151">ROUND($C835*RANDBETWEEN(10000,20000)*6,0)</f>
        <v>28047</v>
      </c>
      <c r="L835">
        <f ca="1" t="shared" ref="L835:L898" si="152">ROUND($C835*RANDBETWEEN(10000,20000)*1,0)</f>
        <v>4318</v>
      </c>
      <c r="M835">
        <f ca="1" t="shared" ref="M835:M898" si="153">$C835*RANDBETWEEN(50000,60000)/700000</f>
        <v>0.0178290115776</v>
      </c>
    </row>
    <row r="836" spans="1:13">
      <c r="A836" t="str">
        <f ca="1">OFFSET($N$2,(ROW(836:836)-2)/35,0)</f>
        <v>贵州省</v>
      </c>
      <c r="B836">
        <f ca="1">OFFSET($O$1,0,MOD(ROW(836:836)-2,35))</f>
        <v>2019</v>
      </c>
      <c r="C836">
        <f ca="1" t="shared" si="143"/>
        <v>0.24173604</v>
      </c>
      <c r="D836">
        <f ca="1" t="shared" si="144"/>
        <v>6</v>
      </c>
      <c r="E836">
        <f ca="1" t="shared" si="145"/>
        <v>2</v>
      </c>
      <c r="F836">
        <f ca="1" t="shared" si="146"/>
        <v>0.454375118652</v>
      </c>
      <c r="G836">
        <f ca="1" t="shared" si="147"/>
        <v>0.0558917898084</v>
      </c>
      <c r="H836">
        <f ca="1" t="shared" si="148"/>
        <v>0.544256607258</v>
      </c>
      <c r="I836">
        <f ca="1" t="shared" si="149"/>
        <v>1394</v>
      </c>
      <c r="J836">
        <f ca="1" t="shared" si="150"/>
        <v>141</v>
      </c>
      <c r="K836">
        <f ca="1" t="shared" si="151"/>
        <v>27346</v>
      </c>
      <c r="L836">
        <f ca="1" t="shared" si="152"/>
        <v>3770</v>
      </c>
      <c r="M836">
        <f ca="1" t="shared" si="153"/>
        <v>0.0203085900576</v>
      </c>
    </row>
    <row r="837" spans="1:13">
      <c r="A837" t="str">
        <f ca="1">OFFSET($N$2,(ROW(837:837)-2)/35,0)</f>
        <v>贵州省</v>
      </c>
      <c r="B837">
        <f ca="1">OFFSET($O$1,0,MOD(ROW(837:837)-2,35))</f>
        <v>2020</v>
      </c>
      <c r="C837">
        <f ca="1" t="shared" si="143"/>
        <v>0.2468592</v>
      </c>
      <c r="D837">
        <f ca="1" t="shared" si="144"/>
        <v>6</v>
      </c>
      <c r="E837">
        <f ca="1" t="shared" si="145"/>
        <v>2</v>
      </c>
      <c r="F837">
        <f ca="1" t="shared" si="146"/>
        <v>0.45562802544</v>
      </c>
      <c r="G837">
        <f ca="1" t="shared" si="147"/>
        <v>0.0503901342</v>
      </c>
      <c r="H837">
        <f ca="1" t="shared" si="148"/>
        <v>0.57762584208</v>
      </c>
      <c r="I837">
        <f ca="1" t="shared" si="149"/>
        <v>1261</v>
      </c>
      <c r="J837">
        <f ca="1" t="shared" si="150"/>
        <v>187</v>
      </c>
      <c r="K837">
        <f ca="1" t="shared" si="151"/>
        <v>25492</v>
      </c>
      <c r="L837">
        <f ca="1" t="shared" si="152"/>
        <v>4874</v>
      </c>
      <c r="M837">
        <f ca="1" t="shared" si="153"/>
        <v>0.019166148288</v>
      </c>
    </row>
    <row r="838" spans="1:13">
      <c r="A838" t="str">
        <f ca="1">OFFSET($N$2,(ROW(838:838)-2)/35,0)</f>
        <v>贵州省</v>
      </c>
      <c r="B838">
        <f ca="1">OFFSET($O$1,0,MOD(ROW(838:838)-2,35))</f>
        <v>2021</v>
      </c>
      <c r="C838">
        <f ca="1" t="shared" si="143"/>
        <v>0.2555448</v>
      </c>
      <c r="D838">
        <f ca="1" t="shared" si="144"/>
        <v>6</v>
      </c>
      <c r="E838">
        <f ca="1" t="shared" si="145"/>
        <v>3</v>
      </c>
      <c r="F838">
        <f ca="1" t="shared" si="146"/>
        <v>0.4310614868</v>
      </c>
      <c r="G838">
        <f ca="1" t="shared" si="147"/>
        <v>0.063849146004</v>
      </c>
      <c r="H838">
        <f ca="1" t="shared" si="148"/>
        <v>0.52275522012</v>
      </c>
      <c r="I838">
        <f ca="1" t="shared" si="149"/>
        <v>1457</v>
      </c>
      <c r="J838">
        <f ca="1" t="shared" si="150"/>
        <v>158</v>
      </c>
      <c r="K838">
        <f ca="1" t="shared" si="151"/>
        <v>24068</v>
      </c>
      <c r="L838">
        <f ca="1" t="shared" si="152"/>
        <v>3046</v>
      </c>
      <c r="M838">
        <f ca="1" t="shared" si="153"/>
        <v>0.020504914752</v>
      </c>
    </row>
    <row r="839" spans="1:13">
      <c r="A839" t="str">
        <f ca="1">OFFSET($N$2,(ROW(839:839)-2)/35,0)</f>
        <v>贵州省</v>
      </c>
      <c r="B839">
        <f ca="1">OFFSET($O$1,0,MOD(ROW(839:839)-2,35))</f>
        <v>2022</v>
      </c>
      <c r="C839">
        <f ca="1" t="shared" si="143"/>
        <v>0.27356112</v>
      </c>
      <c r="D839">
        <f ca="1" t="shared" si="144"/>
        <v>6</v>
      </c>
      <c r="E839">
        <f ca="1" t="shared" si="145"/>
        <v>3</v>
      </c>
      <c r="F839">
        <f ca="1" t="shared" si="146"/>
        <v>0.503735446368</v>
      </c>
      <c r="G839">
        <f ca="1" t="shared" si="147"/>
        <v>0.0612352889064</v>
      </c>
      <c r="H839">
        <f ca="1" t="shared" si="148"/>
        <v>0.671018071248</v>
      </c>
      <c r="I839">
        <f ca="1" t="shared" si="149"/>
        <v>1145</v>
      </c>
      <c r="J839">
        <f ca="1" t="shared" si="150"/>
        <v>180</v>
      </c>
      <c r="K839">
        <f ca="1" t="shared" si="151"/>
        <v>27683</v>
      </c>
      <c r="L839">
        <f ca="1" t="shared" si="152"/>
        <v>4440</v>
      </c>
      <c r="M839">
        <f ca="1" t="shared" si="153"/>
        <v>0.0216898796016</v>
      </c>
    </row>
    <row r="840" spans="1:13">
      <c r="A840" t="str">
        <f ca="1">OFFSET($N$2,(ROW(840:840)-2)/35,0)</f>
        <v>贵州省</v>
      </c>
      <c r="B840">
        <f ca="1">OFFSET($O$1,0,MOD(ROW(840:840)-2,35))</f>
        <v>2023</v>
      </c>
      <c r="C840">
        <f ca="1" t="shared" si="143"/>
        <v>0.2759568</v>
      </c>
      <c r="D840">
        <f ca="1" t="shared" si="144"/>
        <v>6</v>
      </c>
      <c r="E840">
        <f ca="1" t="shared" si="145"/>
        <v>3</v>
      </c>
      <c r="F840">
        <f ca="1" t="shared" si="146"/>
        <v>0.46919094992</v>
      </c>
      <c r="G840">
        <f ca="1" t="shared" si="147"/>
        <v>0.065600450496</v>
      </c>
      <c r="H840">
        <f ca="1" t="shared" si="148"/>
        <v>0.61357614696</v>
      </c>
      <c r="I840">
        <f ca="1" t="shared" si="149"/>
        <v>1366</v>
      </c>
      <c r="J840">
        <f ca="1" t="shared" si="150"/>
        <v>264</v>
      </c>
      <c r="K840">
        <f ca="1" t="shared" si="151"/>
        <v>29466</v>
      </c>
      <c r="L840">
        <f ca="1" t="shared" si="152"/>
        <v>3305</v>
      </c>
      <c r="M840">
        <f ca="1" t="shared" si="153"/>
        <v>0.01984129392</v>
      </c>
    </row>
    <row r="841" spans="1:13">
      <c r="A841" t="str">
        <f ca="1">OFFSET($N$2,(ROW(841:841)-2)/35,0)</f>
        <v>贵州省</v>
      </c>
      <c r="B841">
        <f ca="1">OFFSET($O$1,0,MOD(ROW(841:841)-2,35))</f>
        <v>2024</v>
      </c>
      <c r="C841">
        <f ca="1" t="shared" si="143"/>
        <v>0.25931136</v>
      </c>
      <c r="D841">
        <f ca="1" t="shared" si="144"/>
        <v>6</v>
      </c>
      <c r="E841">
        <f ca="1" t="shared" si="145"/>
        <v>3</v>
      </c>
      <c r="F841">
        <f ca="1" t="shared" si="146"/>
        <v>0.455489047552</v>
      </c>
      <c r="G841">
        <f ca="1" t="shared" si="147"/>
        <v>0.0626768522688</v>
      </c>
      <c r="H841">
        <f ca="1" t="shared" si="148"/>
        <v>0.554329894272</v>
      </c>
      <c r="I841">
        <f ca="1" t="shared" si="149"/>
        <v>1425</v>
      </c>
      <c r="J841">
        <f ca="1" t="shared" si="150"/>
        <v>164</v>
      </c>
      <c r="K841">
        <f ca="1" t="shared" si="151"/>
        <v>28560</v>
      </c>
      <c r="L841">
        <f ca="1" t="shared" si="152"/>
        <v>4129</v>
      </c>
      <c r="M841">
        <f ca="1" t="shared" si="153"/>
        <v>0.021295019328</v>
      </c>
    </row>
    <row r="842" spans="1:13">
      <c r="A842" t="str">
        <f ca="1">OFFSET($N$2,(ROW(842:842)-2)/35,0)</f>
        <v>云南省</v>
      </c>
      <c r="B842">
        <f ca="1">OFFSET($O$1,0,MOD(ROW(842:842)-2,35))</f>
        <v>1990</v>
      </c>
      <c r="C842">
        <f ca="1" t="shared" si="143"/>
        <v>0.0604128</v>
      </c>
      <c r="D842">
        <f ca="1" t="shared" si="144"/>
        <v>1</v>
      </c>
      <c r="E842">
        <f ca="1" t="shared" si="145"/>
        <v>0</v>
      </c>
      <c r="F842">
        <f ca="1" t="shared" si="146"/>
        <v>0.11049098368</v>
      </c>
      <c r="G842">
        <f ca="1" t="shared" si="147"/>
        <v>0.013653896928</v>
      </c>
      <c r="H842">
        <f ca="1" t="shared" si="148"/>
        <v>0.1263835776</v>
      </c>
      <c r="I842">
        <f ca="1" t="shared" si="149"/>
        <v>291</v>
      </c>
      <c r="J842">
        <f ca="1" t="shared" si="150"/>
        <v>7</v>
      </c>
      <c r="K842">
        <f ca="1" t="shared" si="151"/>
        <v>5172</v>
      </c>
      <c r="L842">
        <f ca="1" t="shared" si="152"/>
        <v>1169</v>
      </c>
      <c r="M842">
        <f ca="1" t="shared" si="153"/>
        <v>0.00487574448</v>
      </c>
    </row>
    <row r="843" spans="1:13">
      <c r="A843" t="str">
        <f ca="1">OFFSET($N$2,(ROW(843:843)-2)/35,0)</f>
        <v>云南省</v>
      </c>
      <c r="B843">
        <f ca="1">OFFSET($O$1,0,MOD(ROW(843:843)-2,35))</f>
        <v>1991</v>
      </c>
      <c r="C843">
        <f ca="1" t="shared" si="143"/>
        <v>0.06789552</v>
      </c>
      <c r="D843">
        <f ca="1" t="shared" si="144"/>
        <v>1</v>
      </c>
      <c r="E843">
        <f ca="1" t="shared" si="145"/>
        <v>1</v>
      </c>
      <c r="F843">
        <f ca="1" t="shared" si="146"/>
        <v>0.119192848544</v>
      </c>
      <c r="G843">
        <f ca="1" t="shared" si="147"/>
        <v>0.01456358904</v>
      </c>
      <c r="H843">
        <f ca="1" t="shared" si="148"/>
        <v>0.166792134432</v>
      </c>
      <c r="I843">
        <f ca="1" t="shared" si="149"/>
        <v>407</v>
      </c>
      <c r="J843">
        <f ca="1" t="shared" si="150"/>
        <v>10</v>
      </c>
      <c r="K843">
        <f ca="1" t="shared" si="151"/>
        <v>6485</v>
      </c>
      <c r="L843">
        <f ca="1" t="shared" si="152"/>
        <v>932</v>
      </c>
      <c r="M843">
        <f ca="1" t="shared" si="153"/>
        <v>0.0052665584928</v>
      </c>
    </row>
    <row r="844" spans="1:13">
      <c r="A844" t="str">
        <f ca="1">OFFSET($N$2,(ROW(844:844)-2)/35,0)</f>
        <v>云南省</v>
      </c>
      <c r="B844">
        <f ca="1">OFFSET($O$1,0,MOD(ROW(844:844)-2,35))</f>
        <v>1992</v>
      </c>
      <c r="C844">
        <f ca="1" t="shared" si="143"/>
        <v>0.0727776</v>
      </c>
      <c r="D844">
        <f ca="1" t="shared" si="144"/>
        <v>1</v>
      </c>
      <c r="E844">
        <f ca="1" t="shared" si="145"/>
        <v>1</v>
      </c>
      <c r="F844">
        <f ca="1" t="shared" si="146"/>
        <v>0.13143149376</v>
      </c>
      <c r="G844">
        <f ca="1" t="shared" si="147"/>
        <v>0.015525645408</v>
      </c>
      <c r="H844">
        <f ca="1" t="shared" si="148"/>
        <v>0.15306220944</v>
      </c>
      <c r="I844">
        <f ca="1" t="shared" si="149"/>
        <v>370</v>
      </c>
      <c r="J844">
        <f ca="1" t="shared" si="150"/>
        <v>11</v>
      </c>
      <c r="K844">
        <f ca="1" t="shared" si="151"/>
        <v>5301</v>
      </c>
      <c r="L844">
        <f ca="1" t="shared" si="152"/>
        <v>860</v>
      </c>
      <c r="M844">
        <f ca="1" t="shared" si="153"/>
        <v>0.005846952384</v>
      </c>
    </row>
    <row r="845" spans="1:13">
      <c r="A845" t="str">
        <f ca="1">OFFSET($N$2,(ROW(845:845)-2)/35,0)</f>
        <v>云南省</v>
      </c>
      <c r="B845">
        <f ca="1">OFFSET($O$1,0,MOD(ROW(845:845)-2,35))</f>
        <v>1993</v>
      </c>
      <c r="C845">
        <f ca="1" t="shared" si="143"/>
        <v>0.0812994</v>
      </c>
      <c r="D845">
        <f ca="1" t="shared" si="144"/>
        <v>1</v>
      </c>
      <c r="E845">
        <f ca="1" t="shared" si="145"/>
        <v>1</v>
      </c>
      <c r="F845">
        <f ca="1" t="shared" si="146"/>
        <v>0.1592519747</v>
      </c>
      <c r="G845">
        <f ca="1" t="shared" si="147"/>
        <v>0.019961848179</v>
      </c>
      <c r="H845">
        <f ca="1" t="shared" si="148"/>
        <v>0.19330151841</v>
      </c>
      <c r="I845">
        <f ca="1" t="shared" si="149"/>
        <v>366</v>
      </c>
      <c r="J845">
        <f ca="1" t="shared" si="150"/>
        <v>12</v>
      </c>
      <c r="K845">
        <f ca="1" t="shared" si="151"/>
        <v>9193</v>
      </c>
      <c r="L845">
        <f ca="1" t="shared" si="152"/>
        <v>844</v>
      </c>
      <c r="M845">
        <f ca="1" t="shared" si="153"/>
        <v>0.006268532166</v>
      </c>
    </row>
    <row r="846" spans="1:13">
      <c r="A846" t="str">
        <f ca="1">OFFSET($N$2,(ROW(846:846)-2)/35,0)</f>
        <v>云南省</v>
      </c>
      <c r="B846">
        <f ca="1">OFFSET($O$1,0,MOD(ROW(846:846)-2,35))</f>
        <v>1994</v>
      </c>
      <c r="C846">
        <f ca="1" t="shared" si="143"/>
        <v>0.08356656</v>
      </c>
      <c r="D846">
        <f ca="1" t="shared" si="144"/>
        <v>2</v>
      </c>
      <c r="E846">
        <f ca="1" t="shared" si="145"/>
        <v>1</v>
      </c>
      <c r="F846">
        <f ca="1" t="shared" si="146"/>
        <v>0.166809995968</v>
      </c>
      <c r="G846">
        <f ca="1" t="shared" si="147"/>
        <v>0.0168336478464</v>
      </c>
      <c r="H846">
        <f ca="1" t="shared" si="148"/>
        <v>0.183507987432</v>
      </c>
      <c r="I846">
        <f ca="1" t="shared" si="149"/>
        <v>376</v>
      </c>
      <c r="J846">
        <f ca="1" t="shared" si="150"/>
        <v>12</v>
      </c>
      <c r="K846">
        <f ca="1" t="shared" si="151"/>
        <v>5211</v>
      </c>
      <c r="L846">
        <f ca="1" t="shared" si="152"/>
        <v>1293</v>
      </c>
      <c r="M846">
        <f ca="1" t="shared" si="153"/>
        <v>0.0061676896512</v>
      </c>
    </row>
    <row r="847" spans="1:13">
      <c r="A847" t="str">
        <f ca="1">OFFSET($N$2,(ROW(847:847)-2)/35,0)</f>
        <v>云南省</v>
      </c>
      <c r="B847">
        <f ca="1">OFFSET($O$1,0,MOD(ROW(847:847)-2,35))</f>
        <v>1995</v>
      </c>
      <c r="C847">
        <f ca="1" t="shared" si="143"/>
        <v>0.0952056</v>
      </c>
      <c r="D847">
        <f ca="1" t="shared" si="144"/>
        <v>2</v>
      </c>
      <c r="E847">
        <f ca="1" t="shared" si="145"/>
        <v>1</v>
      </c>
      <c r="F847">
        <f ca="1" t="shared" si="146"/>
        <v>0.1799227164</v>
      </c>
      <c r="G847">
        <f ca="1" t="shared" si="147"/>
        <v>0.0230397552</v>
      </c>
      <c r="H847">
        <f ca="1" t="shared" si="148"/>
        <v>0.20027926044</v>
      </c>
      <c r="I847">
        <f ca="1" t="shared" si="149"/>
        <v>482</v>
      </c>
      <c r="J847">
        <f ca="1" t="shared" si="150"/>
        <v>16</v>
      </c>
      <c r="K847">
        <f ca="1" t="shared" si="151"/>
        <v>8952</v>
      </c>
      <c r="L847">
        <f ca="1" t="shared" si="152"/>
        <v>1131</v>
      </c>
      <c r="M847">
        <f ca="1" t="shared" si="153"/>
        <v>0.008006926968</v>
      </c>
    </row>
    <row r="848" spans="1:13">
      <c r="A848" t="str">
        <f ca="1">OFFSET($N$2,(ROW(848:848)-2)/35,0)</f>
        <v>云南省</v>
      </c>
      <c r="B848">
        <f ca="1">OFFSET($O$1,0,MOD(ROW(848:848)-2,35))</f>
        <v>1996</v>
      </c>
      <c r="C848">
        <f ca="1" t="shared" si="143"/>
        <v>0.1074528</v>
      </c>
      <c r="D848">
        <f ca="1" t="shared" si="144"/>
        <v>2</v>
      </c>
      <c r="E848">
        <f ca="1" t="shared" si="145"/>
        <v>1</v>
      </c>
      <c r="F848">
        <f ca="1" t="shared" si="146"/>
        <v>0.187326048</v>
      </c>
      <c r="G848">
        <f ca="1" t="shared" si="147"/>
        <v>0.0251305236</v>
      </c>
      <c r="H848">
        <f ca="1" t="shared" si="148"/>
        <v>0.21501842544</v>
      </c>
      <c r="I848">
        <f ca="1" t="shared" si="149"/>
        <v>448</v>
      </c>
      <c r="J848">
        <f ca="1" t="shared" si="150"/>
        <v>12</v>
      </c>
      <c r="K848">
        <f ca="1" t="shared" si="151"/>
        <v>9674</v>
      </c>
      <c r="L848">
        <f ca="1" t="shared" si="152"/>
        <v>1765</v>
      </c>
      <c r="M848">
        <f ca="1" t="shared" si="153"/>
        <v>0.007753026528</v>
      </c>
    </row>
    <row r="849" spans="1:13">
      <c r="A849" t="str">
        <f ca="1">OFFSET($N$2,(ROW(849:849)-2)/35,0)</f>
        <v>云南省</v>
      </c>
      <c r="B849">
        <f ca="1">OFFSET($O$1,0,MOD(ROW(849:849)-2,35))</f>
        <v>1997</v>
      </c>
      <c r="C849">
        <f ca="1" t="shared" si="143"/>
        <v>0.1095276</v>
      </c>
      <c r="D849">
        <f ca="1" t="shared" si="144"/>
        <v>3</v>
      </c>
      <c r="E849">
        <f ca="1" t="shared" si="145"/>
        <v>1</v>
      </c>
      <c r="F849">
        <f ca="1" t="shared" si="146"/>
        <v>0.21836882704</v>
      </c>
      <c r="G849">
        <f ca="1" t="shared" si="147"/>
        <v>0.024712712388</v>
      </c>
      <c r="H849">
        <f ca="1" t="shared" si="148"/>
        <v>0.24584565096</v>
      </c>
      <c r="I849">
        <f ca="1" t="shared" si="149"/>
        <v>450</v>
      </c>
      <c r="J849">
        <f ca="1" t="shared" si="150"/>
        <v>15</v>
      </c>
      <c r="K849">
        <f ca="1" t="shared" si="151"/>
        <v>12313</v>
      </c>
      <c r="L849">
        <f ca="1" t="shared" si="152"/>
        <v>1733</v>
      </c>
      <c r="M849">
        <f ca="1" t="shared" si="153"/>
        <v>0.008375575572</v>
      </c>
    </row>
    <row r="850" spans="1:13">
      <c r="A850" t="str">
        <f ca="1">OFFSET($N$2,(ROW(850:850)-2)/35,0)</f>
        <v>云南省</v>
      </c>
      <c r="B850">
        <f ca="1">OFFSET($O$1,0,MOD(ROW(850:850)-2,35))</f>
        <v>1998</v>
      </c>
      <c r="C850">
        <f ca="1" t="shared" si="143"/>
        <v>0.11525976</v>
      </c>
      <c r="D850">
        <f ca="1" t="shared" si="144"/>
        <v>3</v>
      </c>
      <c r="E850">
        <f ca="1" t="shared" si="145"/>
        <v>1</v>
      </c>
      <c r="F850">
        <f ca="1" t="shared" si="146"/>
        <v>0.195296137344</v>
      </c>
      <c r="G850">
        <f ca="1" t="shared" si="147"/>
        <v>0.0260809784928</v>
      </c>
      <c r="H850">
        <f ca="1" t="shared" si="148"/>
        <v>0.2714367348</v>
      </c>
      <c r="I850">
        <f ca="1" t="shared" si="149"/>
        <v>647</v>
      </c>
      <c r="J850">
        <f ca="1" t="shared" si="150"/>
        <v>18</v>
      </c>
      <c r="K850">
        <f ca="1" t="shared" si="151"/>
        <v>13132</v>
      </c>
      <c r="L850">
        <f ca="1" t="shared" si="152"/>
        <v>1591</v>
      </c>
      <c r="M850">
        <f ca="1" t="shared" si="153"/>
        <v>0.0090164417112</v>
      </c>
    </row>
    <row r="851" spans="1:13">
      <c r="A851" t="str">
        <f ca="1">OFFSET($N$2,(ROW(851:851)-2)/35,0)</f>
        <v>云南省</v>
      </c>
      <c r="B851">
        <f ca="1">OFFSET($O$1,0,MOD(ROW(851:851)-2,35))</f>
        <v>1999</v>
      </c>
      <c r="C851">
        <f ca="1" t="shared" si="143"/>
        <v>0.12689796</v>
      </c>
      <c r="D851">
        <f ca="1" t="shared" si="144"/>
        <v>3</v>
      </c>
      <c r="E851">
        <f ca="1" t="shared" si="145"/>
        <v>1</v>
      </c>
      <c r="F851">
        <f ca="1" t="shared" si="146"/>
        <v>0.237337254588</v>
      </c>
      <c r="G851">
        <f ca="1" t="shared" si="147"/>
        <v>0.0303977718282</v>
      </c>
      <c r="H851">
        <f ca="1" t="shared" si="148"/>
        <v>0.276313963002</v>
      </c>
      <c r="I851">
        <f ca="1" t="shared" si="149"/>
        <v>686</v>
      </c>
      <c r="J851">
        <f ca="1" t="shared" si="150"/>
        <v>18</v>
      </c>
      <c r="K851">
        <f ca="1" t="shared" si="151"/>
        <v>14957</v>
      </c>
      <c r="L851">
        <f ca="1" t="shared" si="152"/>
        <v>2003</v>
      </c>
      <c r="M851">
        <f ca="1" t="shared" si="153"/>
        <v>0.0091052911956</v>
      </c>
    </row>
    <row r="852" spans="1:13">
      <c r="A852" t="str">
        <f ca="1">OFFSET($N$2,(ROW(852:852)-2)/35,0)</f>
        <v>云南省</v>
      </c>
      <c r="B852">
        <f ca="1">OFFSET($O$1,0,MOD(ROW(852:852)-2,35))</f>
        <v>2000</v>
      </c>
      <c r="C852">
        <f ca="1" t="shared" si="143"/>
        <v>0.1320816</v>
      </c>
      <c r="D852">
        <f ca="1" t="shared" si="144"/>
        <v>3</v>
      </c>
      <c r="E852">
        <f ca="1" t="shared" si="145"/>
        <v>2</v>
      </c>
      <c r="F852">
        <f ca="1" t="shared" si="146"/>
        <v>0.24669320704</v>
      </c>
      <c r="G852">
        <f ca="1" t="shared" si="147"/>
        <v>0.03233687772</v>
      </c>
      <c r="H852">
        <f ca="1" t="shared" si="148"/>
        <v>0.31890441912</v>
      </c>
      <c r="I852">
        <f ca="1" t="shared" si="149"/>
        <v>599</v>
      </c>
      <c r="J852">
        <f ca="1" t="shared" si="150"/>
        <v>22</v>
      </c>
      <c r="K852">
        <f ca="1" t="shared" si="151"/>
        <v>12326</v>
      </c>
      <c r="L852">
        <f ca="1" t="shared" si="152"/>
        <v>2019</v>
      </c>
      <c r="M852">
        <f ca="1" t="shared" si="153"/>
        <v>0.010514261424</v>
      </c>
    </row>
    <row r="853" spans="1:13">
      <c r="A853" t="str">
        <f ca="1">OFFSET($N$2,(ROW(853:853)-2)/35,0)</f>
        <v>云南省</v>
      </c>
      <c r="B853">
        <f ca="1">OFFSET($O$1,0,MOD(ROW(853:853)-2,35))</f>
        <v>2001</v>
      </c>
      <c r="C853">
        <f ca="1" t="shared" si="143"/>
        <v>0.12852504</v>
      </c>
      <c r="D853">
        <f ca="1" t="shared" si="144"/>
        <v>3</v>
      </c>
      <c r="E853">
        <f ca="1" t="shared" si="145"/>
        <v>2</v>
      </c>
      <c r="F853">
        <f ca="1" t="shared" si="146"/>
        <v>0.254076867408</v>
      </c>
      <c r="G853">
        <f ca="1" t="shared" si="147"/>
        <v>0.0317945243952</v>
      </c>
      <c r="H853">
        <f ca="1" t="shared" si="148"/>
        <v>0.316608583536</v>
      </c>
      <c r="I853">
        <f ca="1" t="shared" si="149"/>
        <v>683</v>
      </c>
      <c r="J853">
        <f ca="1" t="shared" si="150"/>
        <v>23</v>
      </c>
      <c r="K853">
        <f ca="1" t="shared" si="151"/>
        <v>10454</v>
      </c>
      <c r="L853">
        <f ca="1" t="shared" si="152"/>
        <v>2488</v>
      </c>
      <c r="M853">
        <f ca="1" t="shared" si="153"/>
        <v>0.0092172650472</v>
      </c>
    </row>
    <row r="854" spans="1:13">
      <c r="A854" t="str">
        <f ca="1">OFFSET($N$2,(ROW(854:854)-2)/35,0)</f>
        <v>云南省</v>
      </c>
      <c r="B854">
        <f ca="1">OFFSET($O$1,0,MOD(ROW(854:854)-2,35))</f>
        <v>2002</v>
      </c>
      <c r="C854">
        <f ca="1" t="shared" si="143"/>
        <v>0.13024704</v>
      </c>
      <c r="D854">
        <f ca="1" t="shared" si="144"/>
        <v>3</v>
      </c>
      <c r="E854">
        <f ca="1" t="shared" si="145"/>
        <v>2</v>
      </c>
      <c r="F854">
        <f ca="1" t="shared" si="146"/>
        <v>0.219982908992</v>
      </c>
      <c r="G854">
        <f ca="1" t="shared" si="147"/>
        <v>0.0283704102528</v>
      </c>
      <c r="H854">
        <f ca="1" t="shared" si="148"/>
        <v>0.301320014688</v>
      </c>
      <c r="I854">
        <f ca="1" t="shared" si="149"/>
        <v>692</v>
      </c>
      <c r="J854">
        <f ca="1" t="shared" si="150"/>
        <v>20</v>
      </c>
      <c r="K854">
        <f ca="1" t="shared" si="151"/>
        <v>14032</v>
      </c>
      <c r="L854">
        <f ca="1" t="shared" si="152"/>
        <v>1579</v>
      </c>
      <c r="M854">
        <f ca="1" t="shared" si="153"/>
        <v>0.0107801753664</v>
      </c>
    </row>
    <row r="855" spans="1:13">
      <c r="A855" t="str">
        <f ca="1">OFFSET($N$2,(ROW(855:855)-2)/35,0)</f>
        <v>云南省</v>
      </c>
      <c r="B855">
        <f ca="1">OFFSET($O$1,0,MOD(ROW(855:855)-2,35))</f>
        <v>2003</v>
      </c>
      <c r="C855">
        <f ca="1" t="shared" si="143"/>
        <v>0.13925856</v>
      </c>
      <c r="D855">
        <f ca="1" t="shared" si="144"/>
        <v>3</v>
      </c>
      <c r="E855">
        <f ca="1" t="shared" si="145"/>
        <v>2</v>
      </c>
      <c r="F855">
        <f ca="1" t="shared" si="146"/>
        <v>0.238095001984</v>
      </c>
      <c r="G855">
        <f ca="1" t="shared" si="147"/>
        <v>0.033435980256</v>
      </c>
      <c r="H855">
        <f ca="1" t="shared" si="148"/>
        <v>0.333656546832</v>
      </c>
      <c r="I855">
        <f ca="1" t="shared" si="149"/>
        <v>629</v>
      </c>
      <c r="J855">
        <f ca="1" t="shared" si="150"/>
        <v>22</v>
      </c>
      <c r="K855">
        <f ca="1" t="shared" si="151"/>
        <v>12609</v>
      </c>
      <c r="L855">
        <f ca="1" t="shared" si="152"/>
        <v>2229</v>
      </c>
      <c r="M855">
        <f ca="1" t="shared" si="153"/>
        <v>0.0101069884032</v>
      </c>
    </row>
    <row r="856" spans="1:13">
      <c r="A856" t="str">
        <f ca="1">OFFSET($N$2,(ROW(856:856)-2)/35,0)</f>
        <v>云南省</v>
      </c>
      <c r="B856">
        <f ca="1">OFFSET($O$1,0,MOD(ROW(856:856)-2,35))</f>
        <v>2004</v>
      </c>
      <c r="C856">
        <f ca="1" t="shared" si="143"/>
        <v>0.15912288</v>
      </c>
      <c r="D856">
        <f ca="1" t="shared" si="144"/>
        <v>3</v>
      </c>
      <c r="E856">
        <f ca="1" t="shared" si="145"/>
        <v>2</v>
      </c>
      <c r="F856">
        <f ca="1" t="shared" si="146"/>
        <v>0.279361432224</v>
      </c>
      <c r="G856">
        <f ca="1" t="shared" si="147"/>
        <v>0.0388148441184</v>
      </c>
      <c r="H856">
        <f ca="1" t="shared" si="148"/>
        <v>0.374304750624</v>
      </c>
      <c r="I856">
        <f ca="1" t="shared" si="149"/>
        <v>764</v>
      </c>
      <c r="J856">
        <f ca="1" t="shared" si="150"/>
        <v>20</v>
      </c>
      <c r="K856">
        <f ca="1" t="shared" si="151"/>
        <v>18249</v>
      </c>
      <c r="L856">
        <f ca="1" t="shared" si="152"/>
        <v>1734</v>
      </c>
      <c r="M856">
        <f ca="1" t="shared" si="153"/>
        <v>0.0128498545152</v>
      </c>
    </row>
    <row r="857" spans="1:13">
      <c r="A857" t="str">
        <f ca="1">OFFSET($N$2,(ROW(857:857)-2)/35,0)</f>
        <v>云南省</v>
      </c>
      <c r="B857">
        <f ca="1">OFFSET($O$1,0,MOD(ROW(857:857)-2,35))</f>
        <v>2005</v>
      </c>
      <c r="C857">
        <f ca="1" t="shared" si="143"/>
        <v>0.147336</v>
      </c>
      <c r="D857">
        <f ca="1" t="shared" si="144"/>
        <v>3</v>
      </c>
      <c r="E857">
        <f ca="1" t="shared" si="145"/>
        <v>2</v>
      </c>
      <c r="F857">
        <f ca="1" t="shared" si="146"/>
        <v>0.2636774168</v>
      </c>
      <c r="G857">
        <f ca="1" t="shared" si="147"/>
        <v>0.03340622796</v>
      </c>
      <c r="H857">
        <f ca="1" t="shared" si="148"/>
        <v>0.3654964152</v>
      </c>
      <c r="I857">
        <f ca="1" t="shared" si="149"/>
        <v>746</v>
      </c>
      <c r="J857">
        <f ca="1" t="shared" si="150"/>
        <v>21</v>
      </c>
      <c r="K857">
        <f ca="1" t="shared" si="151"/>
        <v>16603</v>
      </c>
      <c r="L857">
        <f ca="1" t="shared" si="152"/>
        <v>1648</v>
      </c>
      <c r="M857">
        <f ca="1" t="shared" si="153"/>
        <v>0.01165280424</v>
      </c>
    </row>
    <row r="858" spans="1:13">
      <c r="A858" t="str">
        <f ca="1">OFFSET($N$2,(ROW(858:858)-2)/35,0)</f>
        <v>云南省</v>
      </c>
      <c r="B858">
        <f ca="1">OFFSET($O$1,0,MOD(ROW(858:858)-2,35))</f>
        <v>2006</v>
      </c>
      <c r="C858">
        <f ca="1" t="shared" si="143"/>
        <v>0.16179072</v>
      </c>
      <c r="D858">
        <f ca="1" t="shared" si="144"/>
        <v>3</v>
      </c>
      <c r="E858">
        <f ca="1" t="shared" si="145"/>
        <v>2</v>
      </c>
      <c r="F858">
        <f ca="1" t="shared" si="146"/>
        <v>0.27566442176</v>
      </c>
      <c r="G858">
        <f ca="1" t="shared" si="147"/>
        <v>0.0329381637312</v>
      </c>
      <c r="H858">
        <f ca="1" t="shared" si="148"/>
        <v>0.344509069632</v>
      </c>
      <c r="I858">
        <f ca="1" t="shared" si="149"/>
        <v>704</v>
      </c>
      <c r="J858">
        <f ca="1" t="shared" si="150"/>
        <v>29</v>
      </c>
      <c r="K858">
        <f ca="1" t="shared" si="151"/>
        <v>12853</v>
      </c>
      <c r="L858">
        <f ca="1" t="shared" si="152"/>
        <v>2409</v>
      </c>
      <c r="M858">
        <f ca="1" t="shared" si="153"/>
        <v>0.0124726777344</v>
      </c>
    </row>
    <row r="859" spans="1:13">
      <c r="A859" t="str">
        <f ca="1">OFFSET($N$2,(ROW(859:859)-2)/35,0)</f>
        <v>云南省</v>
      </c>
      <c r="B859">
        <f ca="1">OFFSET($O$1,0,MOD(ROW(859:859)-2,35))</f>
        <v>2007</v>
      </c>
      <c r="C859">
        <f ca="1" t="shared" si="143"/>
        <v>0.1626156</v>
      </c>
      <c r="D859">
        <f ca="1" t="shared" si="144"/>
        <v>4</v>
      </c>
      <c r="E859">
        <f ca="1" t="shared" si="145"/>
        <v>2</v>
      </c>
      <c r="F859">
        <f ca="1" t="shared" si="146"/>
        <v>0.31943666412</v>
      </c>
      <c r="G859">
        <f ca="1" t="shared" si="147"/>
        <v>0.033574429854</v>
      </c>
      <c r="H859">
        <f ca="1" t="shared" si="148"/>
        <v>0.3897895932</v>
      </c>
      <c r="I859">
        <f ca="1" t="shared" si="149"/>
        <v>969</v>
      </c>
      <c r="J859">
        <f ca="1" t="shared" si="150"/>
        <v>20</v>
      </c>
      <c r="K859">
        <f ca="1" t="shared" si="151"/>
        <v>15079</v>
      </c>
      <c r="L859">
        <f ca="1" t="shared" si="152"/>
        <v>3110</v>
      </c>
      <c r="M859">
        <f ca="1" t="shared" si="153"/>
        <v>0.012911214024</v>
      </c>
    </row>
    <row r="860" spans="1:13">
      <c r="A860" t="str">
        <f ca="1">OFFSET($N$2,(ROW(860:860)-2)/35,0)</f>
        <v>云南省</v>
      </c>
      <c r="B860">
        <f ca="1">OFFSET($O$1,0,MOD(ROW(860:860)-2,35))</f>
        <v>2008</v>
      </c>
      <c r="C860">
        <f ca="1" t="shared" si="143"/>
        <v>0.18453792</v>
      </c>
      <c r="D860">
        <f ca="1" t="shared" si="144"/>
        <v>4</v>
      </c>
      <c r="E860">
        <f ca="1" t="shared" si="145"/>
        <v>2</v>
      </c>
      <c r="F860">
        <f ca="1" t="shared" si="146"/>
        <v>0.339094579264</v>
      </c>
      <c r="G860">
        <f ca="1" t="shared" si="147"/>
        <v>0.0426623990352</v>
      </c>
      <c r="H860">
        <f ca="1" t="shared" si="148"/>
        <v>0.423726745008</v>
      </c>
      <c r="I860">
        <f ca="1" t="shared" si="149"/>
        <v>990</v>
      </c>
      <c r="J860">
        <f ca="1" t="shared" si="150"/>
        <v>26</v>
      </c>
      <c r="K860">
        <f ca="1" t="shared" si="151"/>
        <v>20606</v>
      </c>
      <c r="L860">
        <f ca="1" t="shared" si="152"/>
        <v>2851</v>
      </c>
      <c r="M860">
        <f ca="1" t="shared" si="153"/>
        <v>0.0156846686976</v>
      </c>
    </row>
    <row r="861" spans="1:13">
      <c r="A861" t="str">
        <f ca="1">OFFSET($N$2,(ROW(861:861)-2)/35,0)</f>
        <v>云南省</v>
      </c>
      <c r="B861">
        <f ca="1">OFFSET($O$1,0,MOD(ROW(861:861)-2,35))</f>
        <v>2009</v>
      </c>
      <c r="C861">
        <f ca="1" t="shared" si="143"/>
        <v>0.17653692</v>
      </c>
      <c r="D861">
        <f ca="1" t="shared" si="144"/>
        <v>4</v>
      </c>
      <c r="E861">
        <f ca="1" t="shared" si="145"/>
        <v>2</v>
      </c>
      <c r="F861">
        <f ca="1" t="shared" si="146"/>
        <v>0.32053220108</v>
      </c>
      <c r="G861">
        <f ca="1" t="shared" si="147"/>
        <v>0.0429840919662</v>
      </c>
      <c r="H861">
        <f ca="1" t="shared" si="148"/>
        <v>0.387198426636</v>
      </c>
      <c r="I861">
        <f ca="1" t="shared" si="149"/>
        <v>791</v>
      </c>
      <c r="J861">
        <f ca="1" t="shared" si="150"/>
        <v>26</v>
      </c>
      <c r="K861">
        <f ca="1" t="shared" si="151"/>
        <v>16954</v>
      </c>
      <c r="L861">
        <f ca="1" t="shared" si="152"/>
        <v>1881</v>
      </c>
      <c r="M861">
        <f ca="1" t="shared" si="153"/>
        <v>0.013346191152</v>
      </c>
    </row>
    <row r="862" spans="1:13">
      <c r="A862" t="str">
        <f ca="1">OFFSET($N$2,(ROW(862:862)-2)/35,0)</f>
        <v>云南省</v>
      </c>
      <c r="B862">
        <f ca="1">OFFSET($O$1,0,MOD(ROW(862:862)-2,35))</f>
        <v>2010</v>
      </c>
      <c r="C862">
        <f ca="1" t="shared" si="143"/>
        <v>0.1781892</v>
      </c>
      <c r="D862">
        <f ca="1" t="shared" si="144"/>
        <v>4</v>
      </c>
      <c r="E862">
        <f ca="1" t="shared" si="145"/>
        <v>2</v>
      </c>
      <c r="F862">
        <f ca="1" t="shared" si="146"/>
        <v>0.34758179316</v>
      </c>
      <c r="G862">
        <f ca="1" t="shared" si="147"/>
        <v>0.042499015146</v>
      </c>
      <c r="H862">
        <f ca="1" t="shared" si="148"/>
        <v>0.41292674262</v>
      </c>
      <c r="I862">
        <f ca="1" t="shared" si="149"/>
        <v>1017</v>
      </c>
      <c r="J862">
        <f ca="1" t="shared" si="150"/>
        <v>35</v>
      </c>
      <c r="K862">
        <f ca="1" t="shared" si="151"/>
        <v>16164</v>
      </c>
      <c r="L862">
        <f ca="1" t="shared" si="152"/>
        <v>3290</v>
      </c>
      <c r="M862">
        <f ca="1" t="shared" si="153"/>
        <v>0.014134985568</v>
      </c>
    </row>
    <row r="863" spans="1:13">
      <c r="A863" t="str">
        <f ca="1">OFFSET($N$2,(ROW(863:863)-2)/35,0)</f>
        <v>云南省</v>
      </c>
      <c r="B863">
        <f ca="1">OFFSET($O$1,0,MOD(ROW(863:863)-2,35))</f>
        <v>2011</v>
      </c>
      <c r="C863">
        <f ca="1" t="shared" si="143"/>
        <v>0.20733048</v>
      </c>
      <c r="D863">
        <f ca="1" t="shared" si="144"/>
        <v>4</v>
      </c>
      <c r="E863">
        <f ca="1" t="shared" si="145"/>
        <v>2</v>
      </c>
      <c r="F863">
        <f ca="1" t="shared" si="146"/>
        <v>0.38414882436</v>
      </c>
      <c r="G863">
        <f ca="1" t="shared" si="147"/>
        <v>0.0495032620572</v>
      </c>
      <c r="H863">
        <f ca="1" t="shared" si="148"/>
        <v>0.481701270708</v>
      </c>
      <c r="I863">
        <f ca="1" t="shared" si="149"/>
        <v>1109</v>
      </c>
      <c r="J863">
        <f ca="1" t="shared" si="150"/>
        <v>38</v>
      </c>
      <c r="K863">
        <f ca="1" t="shared" si="151"/>
        <v>14336</v>
      </c>
      <c r="L863">
        <f ca="1" t="shared" si="152"/>
        <v>2866</v>
      </c>
      <c r="M863">
        <f ca="1" t="shared" si="153"/>
        <v>0.015666779628</v>
      </c>
    </row>
    <row r="864" spans="1:13">
      <c r="A864" t="str">
        <f ca="1">OFFSET($N$2,(ROW(864:864)-2)/35,0)</f>
        <v>云南省</v>
      </c>
      <c r="B864">
        <f ca="1">OFFSET($O$1,0,MOD(ROW(864:864)-2,35))</f>
        <v>2012</v>
      </c>
      <c r="C864">
        <f ca="1" t="shared" si="143"/>
        <v>0.1967616</v>
      </c>
      <c r="D864">
        <f ca="1" t="shared" si="144"/>
        <v>4</v>
      </c>
      <c r="E864">
        <f ca="1" t="shared" si="145"/>
        <v>2</v>
      </c>
      <c r="F864">
        <f ca="1" t="shared" si="146"/>
        <v>0.37783474176</v>
      </c>
      <c r="G864">
        <f ca="1" t="shared" si="147"/>
        <v>0.042423768576</v>
      </c>
      <c r="H864">
        <f ca="1" t="shared" si="148"/>
        <v>0.43760763648</v>
      </c>
      <c r="I864">
        <f ca="1" t="shared" si="149"/>
        <v>912</v>
      </c>
      <c r="J864">
        <f ca="1" t="shared" si="150"/>
        <v>28</v>
      </c>
      <c r="K864">
        <f ca="1" t="shared" si="151"/>
        <v>18861</v>
      </c>
      <c r="L864">
        <f ca="1" t="shared" si="152"/>
        <v>3153</v>
      </c>
      <c r="M864">
        <f ca="1" t="shared" si="153"/>
        <v>0.016671610368</v>
      </c>
    </row>
    <row r="865" spans="1:13">
      <c r="A865" t="str">
        <f ca="1">OFFSET($N$2,(ROW(865:865)-2)/35,0)</f>
        <v>云南省</v>
      </c>
      <c r="B865">
        <f ca="1">OFFSET($O$1,0,MOD(ROW(865:865)-2,35))</f>
        <v>2013</v>
      </c>
      <c r="C865">
        <f ca="1" t="shared" si="143"/>
        <v>0.21244608</v>
      </c>
      <c r="D865">
        <f ca="1" t="shared" si="144"/>
        <v>5</v>
      </c>
      <c r="E865">
        <f ca="1" t="shared" si="145"/>
        <v>2</v>
      </c>
      <c r="F865">
        <f ca="1" t="shared" si="146"/>
        <v>0.37978277568</v>
      </c>
      <c r="G865">
        <f ca="1" t="shared" si="147"/>
        <v>0.0464014105632</v>
      </c>
      <c r="H865">
        <f ca="1" t="shared" si="148"/>
        <v>0.522659846016</v>
      </c>
      <c r="I865">
        <f ca="1" t="shared" si="149"/>
        <v>1209</v>
      </c>
      <c r="J865">
        <f ca="1" t="shared" si="150"/>
        <v>26</v>
      </c>
      <c r="K865">
        <f ca="1" t="shared" si="151"/>
        <v>21537</v>
      </c>
      <c r="L865">
        <f ca="1" t="shared" si="152"/>
        <v>2546</v>
      </c>
      <c r="M865">
        <f ca="1" t="shared" si="153"/>
        <v>0.0160451419392</v>
      </c>
    </row>
    <row r="866" spans="1:13">
      <c r="A866" t="str">
        <f ca="1">OFFSET($N$2,(ROW(866:866)-2)/35,0)</f>
        <v>云南省</v>
      </c>
      <c r="B866">
        <f ca="1">OFFSET($O$1,0,MOD(ROW(866:866)-2,35))</f>
        <v>2014</v>
      </c>
      <c r="C866">
        <f ca="1" t="shared" si="143"/>
        <v>0.22665216</v>
      </c>
      <c r="D866">
        <f ca="1" t="shared" si="144"/>
        <v>5</v>
      </c>
      <c r="E866">
        <f ca="1" t="shared" si="145"/>
        <v>2</v>
      </c>
      <c r="F866">
        <f ca="1" t="shared" si="146"/>
        <v>0.394578745344</v>
      </c>
      <c r="G866">
        <f ca="1" t="shared" si="147"/>
        <v>0.0489217354752</v>
      </c>
      <c r="H866">
        <f ca="1" t="shared" si="148"/>
        <v>0.465985508352</v>
      </c>
      <c r="I866">
        <f ca="1" t="shared" si="149"/>
        <v>977</v>
      </c>
      <c r="J866">
        <f ca="1" t="shared" si="150"/>
        <v>43</v>
      </c>
      <c r="K866">
        <f ca="1" t="shared" si="151"/>
        <v>15759</v>
      </c>
      <c r="L866">
        <f ca="1" t="shared" si="152"/>
        <v>3170</v>
      </c>
      <c r="M866">
        <f ca="1" t="shared" si="153"/>
        <v>0.0174081810432</v>
      </c>
    </row>
    <row r="867" spans="1:13">
      <c r="A867" t="str">
        <f ca="1">OFFSET($N$2,(ROW(867:867)-2)/35,0)</f>
        <v>云南省</v>
      </c>
      <c r="B867">
        <f ca="1">OFFSET($O$1,0,MOD(ROW(867:867)-2,35))</f>
        <v>2015</v>
      </c>
      <c r="C867">
        <f ca="1" t="shared" si="143"/>
        <v>0.2289084</v>
      </c>
      <c r="D867">
        <f ca="1" t="shared" si="144"/>
        <v>5</v>
      </c>
      <c r="E867">
        <f ca="1" t="shared" si="145"/>
        <v>2</v>
      </c>
      <c r="F867">
        <f ca="1" t="shared" si="146"/>
        <v>0.43900052952</v>
      </c>
      <c r="G867">
        <f ca="1" t="shared" si="147"/>
        <v>0.052291834896</v>
      </c>
      <c r="H867">
        <f ca="1" t="shared" si="148"/>
        <v>0.53380294338</v>
      </c>
      <c r="I867">
        <f ca="1" t="shared" si="149"/>
        <v>1169</v>
      </c>
      <c r="J867">
        <f ca="1" t="shared" si="150"/>
        <v>44</v>
      </c>
      <c r="K867">
        <f ca="1" t="shared" si="151"/>
        <v>21808</v>
      </c>
      <c r="L867">
        <f ca="1" t="shared" si="152"/>
        <v>3966</v>
      </c>
      <c r="M867">
        <f ca="1" t="shared" si="153"/>
        <v>0.0165795084</v>
      </c>
    </row>
    <row r="868" spans="1:13">
      <c r="A868" t="str">
        <f ca="1">OFFSET($N$2,(ROW(868:868)-2)/35,0)</f>
        <v>云南省</v>
      </c>
      <c r="B868">
        <f ca="1">OFFSET($O$1,0,MOD(ROW(868:868)-2,35))</f>
        <v>2016</v>
      </c>
      <c r="C868">
        <f ca="1" t="shared" si="143"/>
        <v>0.21851424</v>
      </c>
      <c r="D868">
        <f ca="1" t="shared" si="144"/>
        <v>5</v>
      </c>
      <c r="E868">
        <f ca="1" t="shared" si="145"/>
        <v>2</v>
      </c>
      <c r="F868">
        <f ca="1" t="shared" si="146"/>
        <v>0.431172298368</v>
      </c>
      <c r="G868">
        <f ca="1" t="shared" si="147"/>
        <v>0.05173324632</v>
      </c>
      <c r="H868">
        <f ca="1" t="shared" si="148"/>
        <v>0.514480852368</v>
      </c>
      <c r="I868">
        <f ca="1" t="shared" si="149"/>
        <v>961</v>
      </c>
      <c r="J868">
        <f ca="1" t="shared" si="150"/>
        <v>42</v>
      </c>
      <c r="K868">
        <f ca="1" t="shared" si="151"/>
        <v>24242</v>
      </c>
      <c r="L868">
        <f ca="1" t="shared" si="152"/>
        <v>3035</v>
      </c>
      <c r="M868">
        <f ca="1" t="shared" si="153"/>
        <v>0.0160273951776</v>
      </c>
    </row>
    <row r="869" spans="1:13">
      <c r="A869" t="str">
        <f ca="1">OFFSET($N$2,(ROW(869:869)-2)/35,0)</f>
        <v>云南省</v>
      </c>
      <c r="B869">
        <f ca="1">OFFSET($O$1,0,MOD(ROW(869:869)-2,35))</f>
        <v>2017</v>
      </c>
      <c r="C869">
        <f ca="1" t="shared" si="143"/>
        <v>0.24376044</v>
      </c>
      <c r="D869">
        <f ca="1" t="shared" si="144"/>
        <v>6</v>
      </c>
      <c r="E869">
        <f ca="1" t="shared" si="145"/>
        <v>2</v>
      </c>
      <c r="F869">
        <f ca="1" t="shared" si="146"/>
        <v>0.480078061232</v>
      </c>
      <c r="G869">
        <f ca="1" t="shared" si="147"/>
        <v>0.0573824263782</v>
      </c>
      <c r="H869">
        <f ca="1" t="shared" si="148"/>
        <v>0.551422679346</v>
      </c>
      <c r="I869">
        <f ca="1" t="shared" si="149"/>
        <v>1088</v>
      </c>
      <c r="J869">
        <f ca="1" t="shared" si="150"/>
        <v>60</v>
      </c>
      <c r="K869">
        <f ca="1" t="shared" si="151"/>
        <v>26269</v>
      </c>
      <c r="L869">
        <f ca="1" t="shared" si="152"/>
        <v>4576</v>
      </c>
      <c r="M869">
        <f ca="1" t="shared" si="153"/>
        <v>0.0194935223868</v>
      </c>
    </row>
    <row r="870" spans="1:13">
      <c r="A870" t="str">
        <f ca="1">OFFSET($N$2,(ROW(870:870)-2)/35,0)</f>
        <v>云南省</v>
      </c>
      <c r="B870">
        <f ca="1">OFFSET($O$1,0,MOD(ROW(870:870)-2,35))</f>
        <v>2018</v>
      </c>
      <c r="C870">
        <f ca="1" t="shared" si="143"/>
        <v>0.23678256</v>
      </c>
      <c r="D870">
        <f ca="1" t="shared" si="144"/>
        <v>6</v>
      </c>
      <c r="E870">
        <f ca="1" t="shared" si="145"/>
        <v>3</v>
      </c>
      <c r="F870">
        <f ca="1" t="shared" si="146"/>
        <v>0.472468027472</v>
      </c>
      <c r="G870">
        <f ca="1" t="shared" si="147"/>
        <v>0.0561423288888</v>
      </c>
      <c r="H870">
        <f ca="1" t="shared" si="148"/>
        <v>0.55857005904</v>
      </c>
      <c r="I870">
        <f ca="1" t="shared" si="149"/>
        <v>1055</v>
      </c>
      <c r="J870">
        <f ca="1" t="shared" si="150"/>
        <v>139</v>
      </c>
      <c r="K870">
        <f ca="1" t="shared" si="151"/>
        <v>27238</v>
      </c>
      <c r="L870">
        <f ca="1" t="shared" si="152"/>
        <v>2386</v>
      </c>
      <c r="M870">
        <f ca="1" t="shared" si="153"/>
        <v>0.0195406498944</v>
      </c>
    </row>
    <row r="871" spans="1:13">
      <c r="A871" t="str">
        <f ca="1">OFFSET($N$2,(ROW(871:871)-2)/35,0)</f>
        <v>云南省</v>
      </c>
      <c r="B871">
        <f ca="1">OFFSET($O$1,0,MOD(ROW(871:871)-2,35))</f>
        <v>2019</v>
      </c>
      <c r="C871">
        <f ca="1" t="shared" si="143"/>
        <v>0.23518404</v>
      </c>
      <c r="D871">
        <f ca="1" t="shared" si="144"/>
        <v>6</v>
      </c>
      <c r="E871">
        <f ca="1" t="shared" si="145"/>
        <v>3</v>
      </c>
      <c r="F871">
        <f ca="1" t="shared" si="146"/>
        <v>0.426325948776</v>
      </c>
      <c r="G871">
        <f ca="1" t="shared" si="147"/>
        <v>0.052692984162</v>
      </c>
      <c r="H871">
        <f ca="1" t="shared" si="148"/>
        <v>0.544062998934</v>
      </c>
      <c r="I871">
        <f ca="1" t="shared" si="149"/>
        <v>1252</v>
      </c>
      <c r="J871">
        <f ca="1" t="shared" si="150"/>
        <v>124</v>
      </c>
      <c r="K871">
        <f ca="1" t="shared" si="151"/>
        <v>27423</v>
      </c>
      <c r="L871">
        <f ca="1" t="shared" si="152"/>
        <v>3881</v>
      </c>
      <c r="M871">
        <f ca="1" t="shared" si="153"/>
        <v>0.0174950047584</v>
      </c>
    </row>
    <row r="872" spans="1:13">
      <c r="A872" t="str">
        <f ca="1">OFFSET($N$2,(ROW(872:872)-2)/35,0)</f>
        <v>云南省</v>
      </c>
      <c r="B872">
        <f ca="1">OFFSET($O$1,0,MOD(ROW(872:872)-2,35))</f>
        <v>2020</v>
      </c>
      <c r="C872">
        <f ca="1" t="shared" si="143"/>
        <v>0.2487072</v>
      </c>
      <c r="D872">
        <f ca="1" t="shared" si="144"/>
        <v>6</v>
      </c>
      <c r="E872">
        <f ca="1" t="shared" si="145"/>
        <v>3</v>
      </c>
      <c r="F872">
        <f ca="1" t="shared" si="146"/>
        <v>0.41627782112</v>
      </c>
      <c r="G872">
        <f ca="1" t="shared" si="147"/>
        <v>0.0563010924</v>
      </c>
      <c r="H872">
        <f ca="1" t="shared" si="148"/>
        <v>0.60557716128</v>
      </c>
      <c r="I872">
        <f ca="1" t="shared" si="149"/>
        <v>1090</v>
      </c>
      <c r="J872">
        <f ca="1" t="shared" si="150"/>
        <v>129</v>
      </c>
      <c r="K872">
        <f ca="1" t="shared" si="151"/>
        <v>21506</v>
      </c>
      <c r="L872">
        <f ca="1" t="shared" si="152"/>
        <v>2924</v>
      </c>
      <c r="M872">
        <f ca="1" t="shared" si="153"/>
        <v>0.020338208928</v>
      </c>
    </row>
    <row r="873" spans="1:13">
      <c r="A873" t="str">
        <f ca="1">OFFSET($N$2,(ROW(873:873)-2)/35,0)</f>
        <v>云南省</v>
      </c>
      <c r="B873">
        <f ca="1">OFFSET($O$1,0,MOD(ROW(873:873)-2,35))</f>
        <v>2021</v>
      </c>
      <c r="C873">
        <f ca="1" t="shared" si="143"/>
        <v>0.25044768</v>
      </c>
      <c r="D873">
        <f ca="1" t="shared" si="144"/>
        <v>6</v>
      </c>
      <c r="E873">
        <f ca="1" t="shared" si="145"/>
        <v>3</v>
      </c>
      <c r="F873">
        <f ca="1" t="shared" si="146"/>
        <v>0.482095087488</v>
      </c>
      <c r="G873">
        <f ca="1" t="shared" si="147"/>
        <v>0.0501033106224</v>
      </c>
      <c r="H873">
        <f ca="1" t="shared" si="148"/>
        <v>0.588439346544</v>
      </c>
      <c r="I873">
        <f ca="1" t="shared" si="149"/>
        <v>1070</v>
      </c>
      <c r="J873">
        <f ca="1" t="shared" si="150"/>
        <v>181</v>
      </c>
      <c r="K873">
        <f ca="1" t="shared" si="151"/>
        <v>16759</v>
      </c>
      <c r="L873">
        <f ca="1" t="shared" si="152"/>
        <v>3894</v>
      </c>
      <c r="M873">
        <f ca="1" t="shared" si="153"/>
        <v>0.020293417728</v>
      </c>
    </row>
    <row r="874" spans="1:13">
      <c r="A874" t="str">
        <f ca="1">OFFSET($N$2,(ROW(874:874)-2)/35,0)</f>
        <v>云南省</v>
      </c>
      <c r="B874">
        <f ca="1">OFFSET($O$1,0,MOD(ROW(874:874)-2,35))</f>
        <v>2022</v>
      </c>
      <c r="C874">
        <f ca="1" t="shared" si="143"/>
        <v>0.26745768</v>
      </c>
      <c r="D874">
        <f ca="1" t="shared" si="144"/>
        <v>6</v>
      </c>
      <c r="E874">
        <f ca="1" t="shared" si="145"/>
        <v>3</v>
      </c>
      <c r="F874">
        <f ca="1" t="shared" si="146"/>
        <v>0.529949562408</v>
      </c>
      <c r="G874">
        <f ca="1" t="shared" si="147"/>
        <v>0.065520445158</v>
      </c>
      <c r="H874">
        <f ca="1" t="shared" si="148"/>
        <v>0.596016066996</v>
      </c>
      <c r="I874">
        <f ca="1" t="shared" si="149"/>
        <v>1104</v>
      </c>
      <c r="J874">
        <f ca="1" t="shared" si="150"/>
        <v>234</v>
      </c>
      <c r="K874">
        <f ca="1" t="shared" si="151"/>
        <v>27812</v>
      </c>
      <c r="L874">
        <f ca="1" t="shared" si="152"/>
        <v>5269</v>
      </c>
      <c r="M874">
        <f ca="1" t="shared" si="153"/>
        <v>0.0218478537144</v>
      </c>
    </row>
    <row r="875" spans="1:13">
      <c r="A875" t="str">
        <f ca="1">OFFSET($N$2,(ROW(875:875)-2)/35,0)</f>
        <v>云南省</v>
      </c>
      <c r="B875">
        <f ca="1">OFFSET($O$1,0,MOD(ROW(875:875)-2,35))</f>
        <v>2023</v>
      </c>
      <c r="C875">
        <f ca="1" t="shared" si="143"/>
        <v>0.25385136</v>
      </c>
      <c r="D875">
        <f ca="1" t="shared" si="144"/>
        <v>6</v>
      </c>
      <c r="E875">
        <f ca="1" t="shared" si="145"/>
        <v>3</v>
      </c>
      <c r="F875">
        <f ca="1" t="shared" si="146"/>
        <v>0.490669293744</v>
      </c>
      <c r="G875">
        <f ca="1" t="shared" si="147"/>
        <v>0.0564451191528</v>
      </c>
      <c r="H875">
        <f ca="1" t="shared" si="148"/>
        <v>0.53461096416</v>
      </c>
      <c r="I875">
        <f ca="1" t="shared" si="149"/>
        <v>1449</v>
      </c>
      <c r="J875">
        <f ca="1" t="shared" si="150"/>
        <v>186</v>
      </c>
      <c r="K875">
        <f ca="1" t="shared" si="151"/>
        <v>18158</v>
      </c>
      <c r="L875">
        <f ca="1" t="shared" si="152"/>
        <v>4700</v>
      </c>
      <c r="M875">
        <f ca="1" t="shared" si="153"/>
        <v>0.0206185327488</v>
      </c>
    </row>
    <row r="876" spans="1:13">
      <c r="A876" t="str">
        <f ca="1">OFFSET($N$2,(ROW(876:876)-2)/35,0)</f>
        <v>云南省</v>
      </c>
      <c r="B876">
        <f ca="1">OFFSET($O$1,0,MOD(ROW(876:876)-2,35))</f>
        <v>2024</v>
      </c>
      <c r="C876">
        <f ca="1" t="shared" si="143"/>
        <v>0.2816352</v>
      </c>
      <c r="D876">
        <f ca="1" t="shared" si="144"/>
        <v>6</v>
      </c>
      <c r="E876">
        <f ca="1" t="shared" si="145"/>
        <v>3</v>
      </c>
      <c r="F876">
        <f ca="1" t="shared" si="146"/>
        <v>0.485586024</v>
      </c>
      <c r="G876">
        <f ca="1" t="shared" si="147"/>
        <v>0.066516601536</v>
      </c>
      <c r="H876">
        <f ca="1" t="shared" si="148"/>
        <v>0.56853697824</v>
      </c>
      <c r="I876">
        <f ca="1" t="shared" si="149"/>
        <v>1370</v>
      </c>
      <c r="J876">
        <f ca="1" t="shared" si="150"/>
        <v>188</v>
      </c>
      <c r="K876">
        <f ca="1" t="shared" si="151"/>
        <v>31677</v>
      </c>
      <c r="L876">
        <f ca="1" t="shared" si="152"/>
        <v>5360</v>
      </c>
      <c r="M876">
        <f ca="1" t="shared" si="153"/>
        <v>0.02042056368</v>
      </c>
    </row>
    <row r="877" spans="1:13">
      <c r="A877" t="str">
        <f ca="1">OFFSET($N$2,(ROW(877:877)-2)/35,0)</f>
        <v>西藏自治区</v>
      </c>
      <c r="B877">
        <f ca="1">OFFSET($O$1,0,MOD(ROW(877:877)-2,35))</f>
        <v>1990</v>
      </c>
      <c r="C877">
        <f ca="1" t="shared" si="143"/>
        <v>0.0619416</v>
      </c>
      <c r="D877">
        <f ca="1" t="shared" si="144"/>
        <v>2</v>
      </c>
      <c r="E877">
        <f ca="1" t="shared" si="145"/>
        <v>0</v>
      </c>
      <c r="F877">
        <f ca="1" t="shared" si="146"/>
        <v>0.11910956736</v>
      </c>
      <c r="G877">
        <f ca="1" t="shared" si="147"/>
        <v>0.013530523104</v>
      </c>
      <c r="H877">
        <f ca="1" t="shared" si="148"/>
        <v>0.14436109296</v>
      </c>
      <c r="I877">
        <f ca="1" t="shared" si="149"/>
        <v>344</v>
      </c>
      <c r="J877">
        <f ca="1" t="shared" si="150"/>
        <v>10</v>
      </c>
      <c r="K877">
        <f ca="1" t="shared" si="151"/>
        <v>4989</v>
      </c>
      <c r="L877">
        <f ca="1" t="shared" si="152"/>
        <v>1196</v>
      </c>
      <c r="M877">
        <f ca="1" t="shared" si="153"/>
        <v>0.005180441472</v>
      </c>
    </row>
    <row r="878" spans="1:13">
      <c r="A878" t="str">
        <f ca="1">OFFSET($N$2,(ROW(878:878)-2)/35,0)</f>
        <v>西藏自治区</v>
      </c>
      <c r="B878">
        <f ca="1">OFFSET($O$1,0,MOD(ROW(878:878)-2,35))</f>
        <v>1991</v>
      </c>
      <c r="C878">
        <f ca="1" t="shared" si="143"/>
        <v>0.06586272</v>
      </c>
      <c r="D878">
        <f ca="1" t="shared" si="144"/>
        <v>2</v>
      </c>
      <c r="E878">
        <f ca="1" t="shared" si="145"/>
        <v>0</v>
      </c>
      <c r="F878">
        <f ca="1" t="shared" si="146"/>
        <v>0.123846063264</v>
      </c>
      <c r="G878">
        <f ca="1" t="shared" si="147"/>
        <v>0.0135845153136</v>
      </c>
      <c r="H878">
        <f ca="1" t="shared" si="148"/>
        <v>0.141525812736</v>
      </c>
      <c r="I878">
        <f ca="1" t="shared" si="149"/>
        <v>368</v>
      </c>
      <c r="J878">
        <f ca="1" t="shared" si="150"/>
        <v>13</v>
      </c>
      <c r="K878">
        <f ca="1" t="shared" si="151"/>
        <v>4623</v>
      </c>
      <c r="L878">
        <f ca="1" t="shared" si="152"/>
        <v>1230</v>
      </c>
      <c r="M878">
        <f ca="1" t="shared" si="153"/>
        <v>0.005366870784</v>
      </c>
    </row>
    <row r="879" spans="1:13">
      <c r="A879" t="str">
        <f ca="1">OFFSET($N$2,(ROW(879:879)-2)/35,0)</f>
        <v>西藏自治区</v>
      </c>
      <c r="B879">
        <f ca="1">OFFSET($O$1,0,MOD(ROW(879:879)-2,35))</f>
        <v>1992</v>
      </c>
      <c r="C879">
        <f ca="1" t="shared" si="143"/>
        <v>0.0722736</v>
      </c>
      <c r="D879">
        <f ca="1" t="shared" si="144"/>
        <v>2</v>
      </c>
      <c r="E879">
        <f ca="1" t="shared" si="145"/>
        <v>0</v>
      </c>
      <c r="F879">
        <f ca="1" t="shared" si="146"/>
        <v>0.12462859584</v>
      </c>
      <c r="G879">
        <f ca="1" t="shared" si="147"/>
        <v>0.016919972496</v>
      </c>
      <c r="H879">
        <f ca="1" t="shared" si="148"/>
        <v>0.16074010008</v>
      </c>
      <c r="I879">
        <f ca="1" t="shared" si="149"/>
        <v>295</v>
      </c>
      <c r="J879">
        <f ca="1" t="shared" si="150"/>
        <v>8</v>
      </c>
      <c r="K879">
        <f ca="1" t="shared" si="151"/>
        <v>6400</v>
      </c>
      <c r="L879">
        <f ca="1" t="shared" si="152"/>
        <v>1153</v>
      </c>
      <c r="M879">
        <f ca="1" t="shared" si="153"/>
        <v>0.005945639328</v>
      </c>
    </row>
    <row r="880" spans="1:13">
      <c r="A880" t="str">
        <f ca="1">OFFSET($N$2,(ROW(880:880)-2)/35,0)</f>
        <v>西藏自治区</v>
      </c>
      <c r="B880">
        <f ca="1">OFFSET($O$1,0,MOD(ROW(880:880)-2,35))</f>
        <v>1993</v>
      </c>
      <c r="C880">
        <f ca="1" t="shared" si="143"/>
        <v>0.08731632</v>
      </c>
      <c r="D880">
        <f ca="1" t="shared" si="144"/>
        <v>2</v>
      </c>
      <c r="E880">
        <f ca="1" t="shared" si="145"/>
        <v>0</v>
      </c>
      <c r="F880">
        <f ca="1" t="shared" si="146"/>
        <v>0.153173199088</v>
      </c>
      <c r="G880">
        <f ca="1" t="shared" si="147"/>
        <v>0.020253020424</v>
      </c>
      <c r="H880">
        <f ca="1" t="shared" si="148"/>
        <v>0.187813038504</v>
      </c>
      <c r="I880">
        <f ca="1" t="shared" si="149"/>
        <v>413</v>
      </c>
      <c r="J880">
        <f ca="1" t="shared" si="150"/>
        <v>14</v>
      </c>
      <c r="K880">
        <f ca="1" t="shared" si="151"/>
        <v>10418</v>
      </c>
      <c r="L880">
        <f ca="1" t="shared" si="152"/>
        <v>1693</v>
      </c>
      <c r="M880">
        <f ca="1" t="shared" si="153"/>
        <v>0.0072704557536</v>
      </c>
    </row>
    <row r="881" spans="1:13">
      <c r="A881" t="str">
        <f ca="1">OFFSET($N$2,(ROW(881:881)-2)/35,0)</f>
        <v>西藏自治区</v>
      </c>
      <c r="B881">
        <f ca="1">OFFSET($O$1,0,MOD(ROW(881:881)-2,35))</f>
        <v>1994</v>
      </c>
      <c r="C881">
        <f ca="1" t="shared" si="143"/>
        <v>0.08688288</v>
      </c>
      <c r="D881">
        <f ca="1" t="shared" si="144"/>
        <v>2</v>
      </c>
      <c r="E881">
        <f ca="1" t="shared" si="145"/>
        <v>0</v>
      </c>
      <c r="F881">
        <f ca="1" t="shared" si="146"/>
        <v>0.159757343648</v>
      </c>
      <c r="G881">
        <f ca="1" t="shared" si="147"/>
        <v>0.0190151871168</v>
      </c>
      <c r="H881">
        <f ca="1" t="shared" si="148"/>
        <v>0.190812181056</v>
      </c>
      <c r="I881">
        <f ca="1" t="shared" si="149"/>
        <v>370</v>
      </c>
      <c r="J881">
        <f ca="1" t="shared" si="150"/>
        <v>9</v>
      </c>
      <c r="K881">
        <f ca="1" t="shared" si="151"/>
        <v>8994</v>
      </c>
      <c r="L881">
        <f ca="1" t="shared" si="152"/>
        <v>1326</v>
      </c>
      <c r="M881">
        <f ca="1" t="shared" si="153"/>
        <v>0.0066259366656</v>
      </c>
    </row>
    <row r="882" spans="1:13">
      <c r="A882" t="str">
        <f ca="1">OFFSET($N$2,(ROW(882:882)-2)/35,0)</f>
        <v>西藏自治区</v>
      </c>
      <c r="B882">
        <f ca="1">OFFSET($O$1,0,MOD(ROW(882:882)-2,35))</f>
        <v>1995</v>
      </c>
      <c r="C882">
        <f ca="1" t="shared" si="143"/>
        <v>0.0884394</v>
      </c>
      <c r="D882">
        <f ca="1" t="shared" si="144"/>
        <v>2</v>
      </c>
      <c r="E882">
        <f ca="1" t="shared" si="145"/>
        <v>0</v>
      </c>
      <c r="F882">
        <f ca="1" t="shared" si="146"/>
        <v>0.17233596282</v>
      </c>
      <c r="G882">
        <f ca="1" t="shared" si="147"/>
        <v>0.019906824546</v>
      </c>
      <c r="H882">
        <f ca="1" t="shared" si="148"/>
        <v>0.2019955896</v>
      </c>
      <c r="I882">
        <f ca="1" t="shared" si="149"/>
        <v>483</v>
      </c>
      <c r="J882">
        <f ca="1" t="shared" si="150"/>
        <v>14</v>
      </c>
      <c r="K882">
        <f ca="1" t="shared" si="151"/>
        <v>6690</v>
      </c>
      <c r="L882">
        <f ca="1" t="shared" si="152"/>
        <v>1275</v>
      </c>
      <c r="M882">
        <f ca="1" t="shared" si="153"/>
        <v>0.00690395859</v>
      </c>
    </row>
    <row r="883" spans="1:13">
      <c r="A883" t="str">
        <f ca="1">OFFSET($N$2,(ROW(883:883)-2)/35,0)</f>
        <v>西藏自治区</v>
      </c>
      <c r="B883">
        <f ca="1">OFFSET($O$1,0,MOD(ROW(883:883)-2,35))</f>
        <v>1996</v>
      </c>
      <c r="C883">
        <f ca="1" t="shared" si="143"/>
        <v>0.0977088</v>
      </c>
      <c r="D883">
        <f ca="1" t="shared" si="144"/>
        <v>2</v>
      </c>
      <c r="E883">
        <f ca="1" t="shared" si="145"/>
        <v>0</v>
      </c>
      <c r="F883">
        <f ca="1" t="shared" si="146"/>
        <v>0.19006315776</v>
      </c>
      <c r="G883">
        <f ca="1" t="shared" si="147"/>
        <v>0.021057712032</v>
      </c>
      <c r="H883">
        <f ca="1" t="shared" si="148"/>
        <v>0.21342533184</v>
      </c>
      <c r="I883">
        <f ca="1" t="shared" si="149"/>
        <v>517</v>
      </c>
      <c r="J883">
        <f ca="1" t="shared" si="150"/>
        <v>14</v>
      </c>
      <c r="K883">
        <f ca="1" t="shared" si="151"/>
        <v>8628</v>
      </c>
      <c r="L883">
        <f ca="1" t="shared" si="152"/>
        <v>1402</v>
      </c>
      <c r="M883">
        <f ca="1" t="shared" si="153"/>
        <v>0.007942050432</v>
      </c>
    </row>
    <row r="884" spans="1:13">
      <c r="A884" t="str">
        <f ca="1">OFFSET($N$2,(ROW(884:884)-2)/35,0)</f>
        <v>西藏自治区</v>
      </c>
      <c r="B884">
        <f ca="1">OFFSET($O$1,0,MOD(ROW(884:884)-2,35))</f>
        <v>1997</v>
      </c>
      <c r="C884">
        <f ca="1" t="shared" si="143"/>
        <v>0.10348716</v>
      </c>
      <c r="D884">
        <f ca="1" t="shared" si="144"/>
        <v>3</v>
      </c>
      <c r="E884">
        <f ca="1" t="shared" si="145"/>
        <v>0</v>
      </c>
      <c r="F884">
        <f ca="1" t="shared" si="146"/>
        <v>0.202745144728</v>
      </c>
      <c r="G884">
        <f ca="1" t="shared" si="147"/>
        <v>0.0232752971556</v>
      </c>
      <c r="H884">
        <f ca="1" t="shared" si="148"/>
        <v>0.212624718936</v>
      </c>
      <c r="I884">
        <f ca="1" t="shared" si="149"/>
        <v>465</v>
      </c>
      <c r="J884">
        <f ca="1" t="shared" si="150"/>
        <v>14</v>
      </c>
      <c r="K884">
        <f ca="1" t="shared" si="151"/>
        <v>8312</v>
      </c>
      <c r="L884">
        <f ca="1" t="shared" si="152"/>
        <v>1179</v>
      </c>
      <c r="M884">
        <f ca="1" t="shared" si="153"/>
        <v>0.0074501884872</v>
      </c>
    </row>
    <row r="885" spans="1:13">
      <c r="A885" t="str">
        <f ca="1">OFFSET($N$2,(ROW(885:885)-2)/35,0)</f>
        <v>西藏自治区</v>
      </c>
      <c r="B885">
        <f ca="1">OFFSET($O$1,0,MOD(ROW(885:885)-2,35))</f>
        <v>1998</v>
      </c>
      <c r="C885">
        <f ca="1" t="shared" si="143"/>
        <v>0.1067472</v>
      </c>
      <c r="D885">
        <f ca="1" t="shared" si="144"/>
        <v>3</v>
      </c>
      <c r="E885">
        <f ca="1" t="shared" si="145"/>
        <v>0</v>
      </c>
      <c r="F885">
        <f ca="1" t="shared" si="146"/>
        <v>0.2078545896</v>
      </c>
      <c r="G885">
        <f ca="1" t="shared" si="147"/>
        <v>0.023893225776</v>
      </c>
      <c r="H885">
        <f ca="1" t="shared" si="148"/>
        <v>0.2480804928</v>
      </c>
      <c r="I885">
        <f ca="1" t="shared" si="149"/>
        <v>542</v>
      </c>
      <c r="J885">
        <f ca="1" t="shared" si="150"/>
        <v>20</v>
      </c>
      <c r="K885">
        <f ca="1" t="shared" si="151"/>
        <v>9430</v>
      </c>
      <c r="L885">
        <f ca="1" t="shared" si="152"/>
        <v>1308</v>
      </c>
      <c r="M885">
        <f ca="1" t="shared" si="153"/>
        <v>0.008453768256</v>
      </c>
    </row>
    <row r="886" spans="1:13">
      <c r="A886" t="str">
        <f ca="1">OFFSET($N$2,(ROW(886:886)-2)/35,0)</f>
        <v>西藏自治区</v>
      </c>
      <c r="B886">
        <f ca="1">OFFSET($O$1,0,MOD(ROW(886:886)-2,35))</f>
        <v>1999</v>
      </c>
      <c r="C886">
        <f ca="1" t="shared" si="143"/>
        <v>0.11885412</v>
      </c>
      <c r="D886">
        <f ca="1" t="shared" si="144"/>
        <v>4</v>
      </c>
      <c r="E886">
        <f ca="1" t="shared" si="145"/>
        <v>1</v>
      </c>
      <c r="F886">
        <f ca="1" t="shared" si="146"/>
        <v>0.23123069046</v>
      </c>
      <c r="G886">
        <f ca="1" t="shared" si="147"/>
        <v>0.0238207427304</v>
      </c>
      <c r="H886">
        <f ca="1" t="shared" si="148"/>
        <v>0.2671246347</v>
      </c>
      <c r="I886">
        <f ca="1" t="shared" si="149"/>
        <v>576</v>
      </c>
      <c r="J886">
        <f ca="1" t="shared" si="150"/>
        <v>13</v>
      </c>
      <c r="K886">
        <f ca="1" t="shared" si="151"/>
        <v>8905</v>
      </c>
      <c r="L886">
        <f ca="1" t="shared" si="152"/>
        <v>1919</v>
      </c>
      <c r="M886">
        <f ca="1" t="shared" si="153"/>
        <v>0.0092106849252</v>
      </c>
    </row>
    <row r="887" spans="1:13">
      <c r="A887" t="str">
        <f ca="1">OFFSET($N$2,(ROW(887:887)-2)/35,0)</f>
        <v>西藏自治区</v>
      </c>
      <c r="B887">
        <f ca="1">OFFSET($O$1,0,MOD(ROW(887:887)-2,35))</f>
        <v>2000</v>
      </c>
      <c r="C887">
        <f ca="1" t="shared" si="143"/>
        <v>0.1247232</v>
      </c>
      <c r="D887">
        <f ca="1" t="shared" si="144"/>
        <v>4</v>
      </c>
      <c r="E887">
        <f ca="1" t="shared" si="145"/>
        <v>1</v>
      </c>
      <c r="F887">
        <f ca="1" t="shared" si="146"/>
        <v>0.24783747072</v>
      </c>
      <c r="G887">
        <f ca="1" t="shared" si="147"/>
        <v>0.027923653632</v>
      </c>
      <c r="H887">
        <f ca="1" t="shared" si="148"/>
        <v>0.28124457984</v>
      </c>
      <c r="I887">
        <f ca="1" t="shared" si="149"/>
        <v>716</v>
      </c>
      <c r="J887">
        <f ca="1" t="shared" si="150"/>
        <v>17</v>
      </c>
      <c r="K887">
        <f ca="1" t="shared" si="151"/>
        <v>8494</v>
      </c>
      <c r="L887">
        <f ca="1" t="shared" si="152"/>
        <v>2446</v>
      </c>
      <c r="M887">
        <f ca="1" t="shared" si="153"/>
        <v>0.009679589376</v>
      </c>
    </row>
    <row r="888" spans="1:13">
      <c r="A888" t="str">
        <f ca="1">OFFSET($N$2,(ROW(888:888)-2)/35,0)</f>
        <v>西藏自治区</v>
      </c>
      <c r="B888">
        <f ca="1">OFFSET($O$1,0,MOD(ROW(888:888)-2,35))</f>
        <v>2001</v>
      </c>
      <c r="C888">
        <f ca="1" t="shared" si="143"/>
        <v>0.13796244</v>
      </c>
      <c r="D888">
        <f ca="1" t="shared" si="144"/>
        <v>4</v>
      </c>
      <c r="E888">
        <f ca="1" t="shared" si="145"/>
        <v>1</v>
      </c>
      <c r="F888">
        <f ca="1" t="shared" si="146"/>
        <v>0.273781863432</v>
      </c>
      <c r="G888">
        <f ca="1" t="shared" si="147"/>
        <v>0.0279863707662</v>
      </c>
      <c r="H888">
        <f ca="1" t="shared" si="148"/>
        <v>0.303193156266</v>
      </c>
      <c r="I888">
        <f ca="1" t="shared" si="149"/>
        <v>668</v>
      </c>
      <c r="J888">
        <f ca="1" t="shared" si="150"/>
        <v>27</v>
      </c>
      <c r="K888">
        <f ca="1" t="shared" si="151"/>
        <v>14827</v>
      </c>
      <c r="L888">
        <f ca="1" t="shared" si="152"/>
        <v>1642</v>
      </c>
      <c r="M888">
        <f ca="1" t="shared" si="153"/>
        <v>0.0115173015804</v>
      </c>
    </row>
    <row r="889" spans="1:13">
      <c r="A889" t="str">
        <f ca="1">OFFSET($N$2,(ROW(889:889)-2)/35,0)</f>
        <v>西藏自治区</v>
      </c>
      <c r="B889">
        <f ca="1">OFFSET($O$1,0,MOD(ROW(889:889)-2,35))</f>
        <v>2002</v>
      </c>
      <c r="C889">
        <f ca="1" t="shared" si="143"/>
        <v>0.14519736</v>
      </c>
      <c r="D889">
        <f ca="1" t="shared" si="144"/>
        <v>4</v>
      </c>
      <c r="E889">
        <f ca="1" t="shared" si="145"/>
        <v>1</v>
      </c>
      <c r="F889">
        <f ca="1" t="shared" si="146"/>
        <v>0.2461095252</v>
      </c>
      <c r="G889">
        <f ca="1" t="shared" si="147"/>
        <v>0.035508014388</v>
      </c>
      <c r="H889">
        <f ca="1" t="shared" si="148"/>
        <v>0.30495075534</v>
      </c>
      <c r="I889">
        <f ca="1" t="shared" si="149"/>
        <v>617</v>
      </c>
      <c r="J889">
        <f ca="1" t="shared" si="150"/>
        <v>26</v>
      </c>
      <c r="K889">
        <f ca="1" t="shared" si="151"/>
        <v>9874</v>
      </c>
      <c r="L889">
        <f ca="1" t="shared" si="152"/>
        <v>1970</v>
      </c>
      <c r="M889">
        <f ca="1" t="shared" si="153"/>
        <v>0.0117286278912</v>
      </c>
    </row>
    <row r="890" spans="1:13">
      <c r="A890" t="str">
        <f ca="1">OFFSET($N$2,(ROW(890:890)-2)/35,0)</f>
        <v>西藏自治区</v>
      </c>
      <c r="B890">
        <f ca="1">OFFSET($O$1,0,MOD(ROW(890:890)-2,35))</f>
        <v>2003</v>
      </c>
      <c r="C890">
        <f ca="1" t="shared" si="143"/>
        <v>0.1541736</v>
      </c>
      <c r="D890">
        <f ca="1" t="shared" si="144"/>
        <v>4</v>
      </c>
      <c r="E890">
        <f ca="1" t="shared" si="145"/>
        <v>1</v>
      </c>
      <c r="F890">
        <f ca="1" t="shared" si="146"/>
        <v>0.30338281008</v>
      </c>
      <c r="G890">
        <f ca="1" t="shared" si="147"/>
        <v>0.033121114488</v>
      </c>
      <c r="H890">
        <f ca="1" t="shared" si="148"/>
        <v>0.36586166148</v>
      </c>
      <c r="I890">
        <f ca="1" t="shared" si="149"/>
        <v>656</v>
      </c>
      <c r="J890">
        <f ca="1" t="shared" si="150"/>
        <v>24</v>
      </c>
      <c r="K890">
        <f ca="1" t="shared" si="151"/>
        <v>16432</v>
      </c>
      <c r="L890">
        <f ca="1" t="shared" si="152"/>
        <v>1829</v>
      </c>
      <c r="M890">
        <f ca="1" t="shared" si="153"/>
        <v>0.012127735872</v>
      </c>
    </row>
    <row r="891" spans="1:13">
      <c r="A891" t="str">
        <f ca="1">OFFSET($N$2,(ROW(891:891)-2)/35,0)</f>
        <v>西藏自治区</v>
      </c>
      <c r="B891">
        <f ca="1">OFFSET($O$1,0,MOD(ROW(891:891)-2,35))</f>
        <v>2004</v>
      </c>
      <c r="C891">
        <f ca="1" t="shared" si="143"/>
        <v>0.1576512</v>
      </c>
      <c r="D891">
        <f ca="1" t="shared" si="144"/>
        <v>4</v>
      </c>
      <c r="E891">
        <f ca="1" t="shared" si="145"/>
        <v>1</v>
      </c>
      <c r="F891">
        <f ca="1" t="shared" si="146"/>
        <v>0.26420239104</v>
      </c>
      <c r="G891">
        <f ca="1" t="shared" si="147"/>
        <v>0.033781499136</v>
      </c>
      <c r="H891">
        <f ca="1" t="shared" si="148"/>
        <v>0.33466196736</v>
      </c>
      <c r="I891">
        <f ca="1" t="shared" si="149"/>
        <v>876</v>
      </c>
      <c r="J891">
        <f ca="1" t="shared" si="150"/>
        <v>30</v>
      </c>
      <c r="K891">
        <f ca="1" t="shared" si="151"/>
        <v>12901</v>
      </c>
      <c r="L891">
        <f ca="1" t="shared" si="152"/>
        <v>3054</v>
      </c>
      <c r="M891">
        <f ca="1" t="shared" si="153"/>
        <v>0.012788214912</v>
      </c>
    </row>
    <row r="892" spans="1:13">
      <c r="A892" t="str">
        <f ca="1">OFFSET($N$2,(ROW(892:892)-2)/35,0)</f>
        <v>西藏自治区</v>
      </c>
      <c r="B892">
        <f ca="1">OFFSET($O$1,0,MOD(ROW(892:892)-2,35))</f>
        <v>2005</v>
      </c>
      <c r="C892">
        <f ca="1" t="shared" si="143"/>
        <v>0.155673</v>
      </c>
      <c r="D892">
        <f ca="1" t="shared" si="144"/>
        <v>4</v>
      </c>
      <c r="E892">
        <f ca="1" t="shared" si="145"/>
        <v>1</v>
      </c>
      <c r="F892">
        <f ca="1" t="shared" si="146"/>
        <v>0.3080197869</v>
      </c>
      <c r="G892">
        <f ca="1" t="shared" si="147"/>
        <v>0.03507001344</v>
      </c>
      <c r="H892">
        <f ca="1" t="shared" si="148"/>
        <v>0.32545775745</v>
      </c>
      <c r="I892">
        <f ca="1" t="shared" si="149"/>
        <v>798</v>
      </c>
      <c r="J892">
        <f ca="1" t="shared" si="150"/>
        <v>24</v>
      </c>
      <c r="K892">
        <f ca="1" t="shared" si="151"/>
        <v>18566</v>
      </c>
      <c r="L892">
        <f ca="1" t="shared" si="152"/>
        <v>1921</v>
      </c>
      <c r="M892">
        <f ca="1" t="shared" si="153"/>
        <v>0.01182025089</v>
      </c>
    </row>
    <row r="893" spans="1:13">
      <c r="A893" t="str">
        <f ca="1">OFFSET($N$2,(ROW(893:893)-2)/35,0)</f>
        <v>西藏自治区</v>
      </c>
      <c r="B893">
        <f ca="1">OFFSET($O$1,0,MOD(ROW(893:893)-2,35))</f>
        <v>2006</v>
      </c>
      <c r="C893">
        <f ca="1" t="shared" si="143"/>
        <v>0.16648632</v>
      </c>
      <c r="D893">
        <f ca="1" t="shared" si="144"/>
        <v>4</v>
      </c>
      <c r="E893">
        <f ca="1" t="shared" si="145"/>
        <v>1</v>
      </c>
      <c r="F893">
        <f ca="1" t="shared" si="146"/>
        <v>0.285601732416</v>
      </c>
      <c r="G893">
        <f ca="1" t="shared" si="147"/>
        <v>0.0399300789888</v>
      </c>
      <c r="H893">
        <f ca="1" t="shared" si="148"/>
        <v>0.334279557612</v>
      </c>
      <c r="I893">
        <f ca="1" t="shared" si="149"/>
        <v>879</v>
      </c>
      <c r="J893">
        <f ca="1" t="shared" si="150"/>
        <v>31</v>
      </c>
      <c r="K893">
        <f ca="1" t="shared" si="151"/>
        <v>15498</v>
      </c>
      <c r="L893">
        <f ca="1" t="shared" si="152"/>
        <v>2174</v>
      </c>
      <c r="M893">
        <f ca="1" t="shared" si="153"/>
        <v>0.0124265389248</v>
      </c>
    </row>
    <row r="894" spans="1:13">
      <c r="A894" t="str">
        <f ca="1">OFFSET($N$2,(ROW(894:894)-2)/35,0)</f>
        <v>西藏自治区</v>
      </c>
      <c r="B894">
        <f ca="1">OFFSET($O$1,0,MOD(ROW(894:894)-2,35))</f>
        <v>2007</v>
      </c>
      <c r="C894">
        <f ca="1" t="shared" si="143"/>
        <v>0.17243604</v>
      </c>
      <c r="D894">
        <f ca="1" t="shared" si="144"/>
        <v>4</v>
      </c>
      <c r="E894">
        <f ca="1" t="shared" si="145"/>
        <v>1</v>
      </c>
      <c r="F894">
        <f ca="1" t="shared" si="146"/>
        <v>0.294365563884</v>
      </c>
      <c r="G894">
        <f ca="1" t="shared" si="147"/>
        <v>0.0397585777428</v>
      </c>
      <c r="H894">
        <f ca="1" t="shared" si="148"/>
        <v>0.423778811904</v>
      </c>
      <c r="I894">
        <f ca="1" t="shared" si="149"/>
        <v>1014</v>
      </c>
      <c r="J894">
        <f ca="1" t="shared" si="150"/>
        <v>25</v>
      </c>
      <c r="K894">
        <f ca="1" t="shared" si="151"/>
        <v>15180</v>
      </c>
      <c r="L894">
        <f ca="1" t="shared" si="152"/>
        <v>2216</v>
      </c>
      <c r="M894">
        <f ca="1" t="shared" si="153"/>
        <v>0.0123966732528</v>
      </c>
    </row>
    <row r="895" spans="1:13">
      <c r="A895" t="str">
        <f ca="1">OFFSET($N$2,(ROW(895:895)-2)/35,0)</f>
        <v>西藏自治区</v>
      </c>
      <c r="B895">
        <f ca="1">OFFSET($O$1,0,MOD(ROW(895:895)-2,35))</f>
        <v>2008</v>
      </c>
      <c r="C895">
        <f ca="1" t="shared" si="143"/>
        <v>0.16758</v>
      </c>
      <c r="D895">
        <f ca="1" t="shared" si="144"/>
        <v>4</v>
      </c>
      <c r="E895">
        <f ca="1" t="shared" si="145"/>
        <v>1</v>
      </c>
      <c r="F895">
        <f ca="1" t="shared" si="146"/>
        <v>0.333026148</v>
      </c>
      <c r="G895">
        <f ca="1" t="shared" si="147"/>
        <v>0.0364670838</v>
      </c>
      <c r="H895">
        <f ca="1" t="shared" si="148"/>
        <v>0.392296401</v>
      </c>
      <c r="I895">
        <f ca="1" t="shared" si="149"/>
        <v>880</v>
      </c>
      <c r="J895">
        <f ca="1" t="shared" si="150"/>
        <v>32</v>
      </c>
      <c r="K895">
        <f ca="1" t="shared" si="151"/>
        <v>10120</v>
      </c>
      <c r="L895">
        <f ca="1" t="shared" si="152"/>
        <v>3142</v>
      </c>
      <c r="M895">
        <f ca="1" t="shared" si="153"/>
        <v>0.0121880934</v>
      </c>
    </row>
    <row r="896" spans="1:13">
      <c r="A896" t="str">
        <f ca="1">OFFSET($N$2,(ROW(896:896)-2)/35,0)</f>
        <v>西藏自治区</v>
      </c>
      <c r="B896">
        <f ca="1">OFFSET($O$1,0,MOD(ROW(896:896)-2,35))</f>
        <v>2009</v>
      </c>
      <c r="C896">
        <f ca="1" t="shared" si="143"/>
        <v>0.18645144</v>
      </c>
      <c r="D896">
        <f ca="1" t="shared" si="144"/>
        <v>4</v>
      </c>
      <c r="E896">
        <f ca="1" t="shared" si="145"/>
        <v>1</v>
      </c>
      <c r="F896">
        <f ca="1" t="shared" si="146"/>
        <v>0.354593348592</v>
      </c>
      <c r="G896">
        <f ca="1" t="shared" si="147"/>
        <v>0.0441218687616</v>
      </c>
      <c r="H896">
        <f ca="1" t="shared" si="148"/>
        <v>0.412486520712</v>
      </c>
      <c r="I896">
        <f ca="1" t="shared" si="149"/>
        <v>925</v>
      </c>
      <c r="J896">
        <f ca="1" t="shared" si="150"/>
        <v>37</v>
      </c>
      <c r="K896">
        <f ca="1" t="shared" si="151"/>
        <v>21964</v>
      </c>
      <c r="L896">
        <f ca="1" t="shared" si="152"/>
        <v>2119</v>
      </c>
      <c r="M896">
        <f ca="1" t="shared" si="153"/>
        <v>0.014708355024</v>
      </c>
    </row>
    <row r="897" spans="1:13">
      <c r="A897" t="str">
        <f ca="1">OFFSET($N$2,(ROW(897:897)-2)/35,0)</f>
        <v>西藏自治区</v>
      </c>
      <c r="B897">
        <f ca="1">OFFSET($O$1,0,MOD(ROW(897:897)-2,35))</f>
        <v>2010</v>
      </c>
      <c r="C897">
        <f ca="1" t="shared" si="143"/>
        <v>0.196308</v>
      </c>
      <c r="D897">
        <f ca="1" t="shared" si="144"/>
        <v>4</v>
      </c>
      <c r="E897">
        <f ca="1" t="shared" si="145"/>
        <v>1</v>
      </c>
      <c r="F897">
        <f ca="1" t="shared" si="146"/>
        <v>0.3581835768</v>
      </c>
      <c r="G897">
        <f ca="1" t="shared" si="147"/>
        <v>0.04225431546</v>
      </c>
      <c r="H897">
        <f ca="1" t="shared" si="148"/>
        <v>0.4443137118</v>
      </c>
      <c r="I897">
        <f ca="1" t="shared" si="149"/>
        <v>995</v>
      </c>
      <c r="J897">
        <f ca="1" t="shared" si="150"/>
        <v>27</v>
      </c>
      <c r="K897">
        <f ca="1" t="shared" si="151"/>
        <v>18118</v>
      </c>
      <c r="L897">
        <f ca="1" t="shared" si="152"/>
        <v>2473</v>
      </c>
      <c r="M897">
        <f ca="1" t="shared" si="153"/>
        <v>0.01425448476</v>
      </c>
    </row>
    <row r="898" spans="1:13">
      <c r="A898" t="str">
        <f ca="1">OFFSET($N$2,(ROW(898:898)-2)/35,0)</f>
        <v>西藏自治区</v>
      </c>
      <c r="B898">
        <f ca="1">OFFSET($O$1,0,MOD(ROW(898:898)-2,35))</f>
        <v>2011</v>
      </c>
      <c r="C898">
        <f ca="1" t="shared" si="143"/>
        <v>0.20045592</v>
      </c>
      <c r="D898">
        <f ca="1" t="shared" si="144"/>
        <v>4</v>
      </c>
      <c r="E898">
        <f ca="1" t="shared" si="145"/>
        <v>1</v>
      </c>
      <c r="F898">
        <f ca="1" t="shared" si="146"/>
        <v>0.352147596528</v>
      </c>
      <c r="G898">
        <f ca="1" t="shared" si="147"/>
        <v>0.0427933298016</v>
      </c>
      <c r="H898">
        <f ca="1" t="shared" si="148"/>
        <v>0.42060663414</v>
      </c>
      <c r="I898">
        <f ca="1" t="shared" si="149"/>
        <v>854</v>
      </c>
      <c r="J898">
        <f ca="1" t="shared" si="150"/>
        <v>20</v>
      </c>
      <c r="K898">
        <f ca="1" t="shared" si="151"/>
        <v>13528</v>
      </c>
      <c r="L898">
        <f ca="1" t="shared" si="152"/>
        <v>2241</v>
      </c>
      <c r="M898">
        <f ca="1" t="shared" si="153"/>
        <v>0.0151604812296</v>
      </c>
    </row>
    <row r="899" spans="1:13">
      <c r="A899" t="str">
        <f ca="1">OFFSET($N$2,(ROW(899:899)-2)/35,0)</f>
        <v>西藏自治区</v>
      </c>
      <c r="B899">
        <f ca="1">OFFSET($O$1,0,MOD(ROW(899:899)-2,35))</f>
        <v>2012</v>
      </c>
      <c r="C899">
        <f ca="1" t="shared" ref="C899:C962" si="154">IF(OR(A899="北京市",A899="上海市",A899="广东省"),(B899-1980)*RANDBETWEEN(15000,16000)/500000,IF(OR(A899="西藏自治区",A899="新疆维吾尔自治区",A899="青海省",A899="广西壮族自治区",A899="内蒙古自治区",A899="宁夏回族自治区",A899="贵州省",A899="甘肃省",A899="陕西省",A899="云南省"),(B899-1980)*RANDBETWEEN(7000,8000)/500000,IF(OR(A899="浙江省",A899="江苏省",A899="山东省",A899="辽宁省"),(B899-1980)*RANDBETWEEN(13000,14000)/500000,(B899-1980)*RANDBETWEEN(10000,11000)/500000)))*0.42</f>
        <v>0.189504</v>
      </c>
      <c r="D899">
        <f ca="1" t="shared" ref="D899:D962" si="155">IF($B899=1990,ROUND($C899*RANDBETWEEN(10000,20000)/500,0),ROUND(D898+RANDBETWEEN(0,5)/10,0))</f>
        <v>4</v>
      </c>
      <c r="E899">
        <f ca="1" t="shared" ref="E899:E962" si="156">IF($B899=1990,ROUND($C899*RANDBETWEEN(10000,20000)/5000,0),ROUND(E898+RANDBETWEEN(0,20)/40,0))</f>
        <v>1</v>
      </c>
      <c r="F899">
        <f ca="1" t="shared" ref="F899:F962" si="157">$C899*RANDBETWEEN(50000,60000)/30000</f>
        <v>0.3405450048</v>
      </c>
      <c r="G899">
        <f ca="1" t="shared" ref="G899:G962" si="158">$C899*RANDBETWEEN(40000,50000)/200000</f>
        <v>0.04294350144</v>
      </c>
      <c r="H899">
        <f ca="1" t="shared" ref="H899:H962" si="159">$C899*RANDBETWEEN(40000,50000)/20000</f>
        <v>0.4527819072</v>
      </c>
      <c r="I899">
        <f ca="1" t="shared" ref="I899:I962" si="160">ROUND($C899*RANDBETWEEN(20000,30000)/5,0)</f>
        <v>1131</v>
      </c>
      <c r="J899">
        <f ca="1" t="shared" ref="J899:J962" si="161">IF(B899&lt;2015,ROUND($C899*RANDBETWEEN(10000,20000)/100,0),IF(B899&lt;2018,ROUND($C899*RANDBETWEEN(10000,20000)/70,0),ROUND($C899*RANDBETWEEN(10000,20000)/20,0)))</f>
        <v>31</v>
      </c>
      <c r="K899">
        <f ca="1" t="shared" ref="K899:K962" si="162">ROUND($C899*RANDBETWEEN(10000,20000)*6,0)</f>
        <v>20274</v>
      </c>
      <c r="L899">
        <f ca="1" t="shared" ref="L899:L962" si="163">ROUND($C899*RANDBETWEEN(10000,20000)*1,0)</f>
        <v>2265</v>
      </c>
      <c r="M899">
        <f ca="1" t="shared" ref="M899:M962" si="164">$C899*RANDBETWEEN(50000,60000)/700000</f>
        <v>0.01586094336</v>
      </c>
    </row>
    <row r="900" spans="1:13">
      <c r="A900" t="str">
        <f ca="1">OFFSET($N$2,(ROW(900:900)-2)/35,0)</f>
        <v>西藏自治区</v>
      </c>
      <c r="B900">
        <f ca="1">OFFSET($O$1,0,MOD(ROW(900:900)-2,35))</f>
        <v>2013</v>
      </c>
      <c r="C900">
        <f ca="1" t="shared" si="154"/>
        <v>0.21078288</v>
      </c>
      <c r="D900">
        <f ca="1" t="shared" si="155"/>
        <v>4</v>
      </c>
      <c r="E900">
        <f ca="1" t="shared" si="156"/>
        <v>1</v>
      </c>
      <c r="F900">
        <f ca="1" t="shared" si="157"/>
        <v>0.39430450752</v>
      </c>
      <c r="G900">
        <f ca="1" t="shared" si="158"/>
        <v>0.0465239972736</v>
      </c>
      <c r="H900">
        <f ca="1" t="shared" si="159"/>
        <v>0.48327244812</v>
      </c>
      <c r="I900">
        <f ca="1" t="shared" si="160"/>
        <v>966</v>
      </c>
      <c r="J900">
        <f ca="1" t="shared" si="161"/>
        <v>38</v>
      </c>
      <c r="K900">
        <f ca="1" t="shared" si="162"/>
        <v>20755</v>
      </c>
      <c r="L900">
        <f ca="1" t="shared" si="163"/>
        <v>3262</v>
      </c>
      <c r="M900">
        <f ca="1" t="shared" si="164"/>
        <v>0.0176488505424</v>
      </c>
    </row>
    <row r="901" spans="1:13">
      <c r="A901" t="str">
        <f ca="1">OFFSET($N$2,(ROW(901:901)-2)/35,0)</f>
        <v>西藏自治区</v>
      </c>
      <c r="B901">
        <f ca="1">OFFSET($O$1,0,MOD(ROW(901:901)-2,35))</f>
        <v>2014</v>
      </c>
      <c r="C901">
        <f ca="1" t="shared" si="154"/>
        <v>0.22071168</v>
      </c>
      <c r="D901">
        <f ca="1" t="shared" si="155"/>
        <v>4</v>
      </c>
      <c r="E901">
        <f ca="1" t="shared" si="156"/>
        <v>1</v>
      </c>
      <c r="F901">
        <f ca="1" t="shared" si="157"/>
        <v>0.394404415104</v>
      </c>
      <c r="G901">
        <f ca="1" t="shared" si="158"/>
        <v>0.0498742183296</v>
      </c>
      <c r="H901">
        <f ca="1" t="shared" si="159"/>
        <v>0.462346827264</v>
      </c>
      <c r="I901">
        <f ca="1" t="shared" si="160"/>
        <v>1060</v>
      </c>
      <c r="J901">
        <f ca="1" t="shared" si="161"/>
        <v>27</v>
      </c>
      <c r="K901">
        <f ca="1" t="shared" si="162"/>
        <v>20925</v>
      </c>
      <c r="L901">
        <f ca="1" t="shared" si="163"/>
        <v>2269</v>
      </c>
      <c r="M901">
        <f ca="1" t="shared" si="164"/>
        <v>0.0186781988736</v>
      </c>
    </row>
    <row r="902" spans="1:13">
      <c r="A902" t="str">
        <f ca="1">OFFSET($N$2,(ROW(902:902)-2)/35,0)</f>
        <v>西藏自治区</v>
      </c>
      <c r="B902">
        <f ca="1">OFFSET($O$1,0,MOD(ROW(902:902)-2,35))</f>
        <v>2015</v>
      </c>
      <c r="C902">
        <f ca="1" t="shared" si="154"/>
        <v>0.2070348</v>
      </c>
      <c r="D902">
        <f ca="1" t="shared" si="155"/>
        <v>5</v>
      </c>
      <c r="E902">
        <f ca="1" t="shared" si="156"/>
        <v>1</v>
      </c>
      <c r="F902">
        <f ca="1" t="shared" si="157"/>
        <v>0.35825991908</v>
      </c>
      <c r="G902">
        <f ca="1" t="shared" si="158"/>
        <v>0.049193538828</v>
      </c>
      <c r="H902">
        <f ca="1" t="shared" si="159"/>
        <v>0.47023814124</v>
      </c>
      <c r="I902">
        <f ca="1" t="shared" si="160"/>
        <v>1000</v>
      </c>
      <c r="J902">
        <f ca="1" t="shared" si="161"/>
        <v>50</v>
      </c>
      <c r="K902">
        <f ca="1" t="shared" si="162"/>
        <v>13324</v>
      </c>
      <c r="L902">
        <f ca="1" t="shared" si="163"/>
        <v>2444</v>
      </c>
      <c r="M902">
        <f ca="1" t="shared" si="164"/>
        <v>0.016667484456</v>
      </c>
    </row>
    <row r="903" spans="1:13">
      <c r="A903" t="str">
        <f ca="1">OFFSET($N$2,(ROW(903:903)-2)/35,0)</f>
        <v>西藏自治区</v>
      </c>
      <c r="B903">
        <f ca="1">OFFSET($O$1,0,MOD(ROW(903:903)-2,35))</f>
        <v>2016</v>
      </c>
      <c r="C903">
        <f ca="1" t="shared" si="154"/>
        <v>0.21660912</v>
      </c>
      <c r="D903">
        <f ca="1" t="shared" si="155"/>
        <v>5</v>
      </c>
      <c r="E903">
        <f ca="1" t="shared" si="156"/>
        <v>1</v>
      </c>
      <c r="F903">
        <f ca="1" t="shared" si="157"/>
        <v>0.428387856624</v>
      </c>
      <c r="G903">
        <f ca="1" t="shared" si="158"/>
        <v>0.0510829287696</v>
      </c>
      <c r="H903">
        <f ca="1" t="shared" si="159"/>
        <v>0.441633504312</v>
      </c>
      <c r="I903">
        <f ca="1" t="shared" si="160"/>
        <v>1090</v>
      </c>
      <c r="J903">
        <f ca="1" t="shared" si="161"/>
        <v>47</v>
      </c>
      <c r="K903">
        <f ca="1" t="shared" si="162"/>
        <v>21576</v>
      </c>
      <c r="L903">
        <f ca="1" t="shared" si="163"/>
        <v>3332</v>
      </c>
      <c r="M903">
        <f ca="1" t="shared" si="164"/>
        <v>0.0183195616032</v>
      </c>
    </row>
    <row r="904" spans="1:13">
      <c r="A904" t="str">
        <f ca="1">OFFSET($N$2,(ROW(904:904)-2)/35,0)</f>
        <v>西藏自治区</v>
      </c>
      <c r="B904">
        <f ca="1">OFFSET($O$1,0,MOD(ROW(904:904)-2,35))</f>
        <v>2017</v>
      </c>
      <c r="C904">
        <f ca="1" t="shared" si="154"/>
        <v>0.23176356</v>
      </c>
      <c r="D904">
        <f ca="1" t="shared" si="155"/>
        <v>5</v>
      </c>
      <c r="E904">
        <f ca="1" t="shared" si="156"/>
        <v>1</v>
      </c>
      <c r="F904">
        <f ca="1" t="shared" si="157"/>
        <v>0.400441078968</v>
      </c>
      <c r="G904">
        <f ca="1" t="shared" si="158"/>
        <v>0.0539244275052</v>
      </c>
      <c r="H904">
        <f ca="1" t="shared" si="159"/>
        <v>0.567577370262</v>
      </c>
      <c r="I904">
        <f ca="1" t="shared" si="160"/>
        <v>1150</v>
      </c>
      <c r="J904">
        <f ca="1" t="shared" si="161"/>
        <v>64</v>
      </c>
      <c r="K904">
        <f ca="1" t="shared" si="162"/>
        <v>24193</v>
      </c>
      <c r="L904">
        <f ca="1" t="shared" si="163"/>
        <v>3343</v>
      </c>
      <c r="M904">
        <f ca="1" t="shared" si="164"/>
        <v>0.0189142241316</v>
      </c>
    </row>
    <row r="905" spans="1:13">
      <c r="A905" t="str">
        <f ca="1">OFFSET($N$2,(ROW(905:905)-2)/35,0)</f>
        <v>西藏自治区</v>
      </c>
      <c r="B905">
        <f ca="1">OFFSET($O$1,0,MOD(ROW(905:905)-2,35))</f>
        <v>2018</v>
      </c>
      <c r="C905">
        <f ca="1" t="shared" si="154"/>
        <v>0.23904888</v>
      </c>
      <c r="D905">
        <f ca="1" t="shared" si="155"/>
        <v>6</v>
      </c>
      <c r="E905">
        <f ca="1" t="shared" si="156"/>
        <v>1</v>
      </c>
      <c r="F905">
        <f ca="1" t="shared" si="157"/>
        <v>0.405299407744</v>
      </c>
      <c r="G905">
        <f ca="1" t="shared" si="158"/>
        <v>0.0542067240288</v>
      </c>
      <c r="H905">
        <f ca="1" t="shared" si="159"/>
        <v>0.520014981108</v>
      </c>
      <c r="I905">
        <f ca="1" t="shared" si="160"/>
        <v>1311</v>
      </c>
      <c r="J905">
        <f ca="1" t="shared" si="161"/>
        <v>206</v>
      </c>
      <c r="K905">
        <f ca="1" t="shared" si="162"/>
        <v>23085</v>
      </c>
      <c r="L905">
        <f ca="1" t="shared" si="163"/>
        <v>2501</v>
      </c>
      <c r="M905">
        <f ca="1" t="shared" si="164"/>
        <v>0.0174358838088</v>
      </c>
    </row>
    <row r="906" spans="1:13">
      <c r="A906" t="str">
        <f ca="1">OFFSET($N$2,(ROW(906:906)-2)/35,0)</f>
        <v>西藏自治区</v>
      </c>
      <c r="B906">
        <f ca="1">OFFSET($O$1,0,MOD(ROW(906:906)-2,35))</f>
        <v>2019</v>
      </c>
      <c r="C906">
        <f ca="1" t="shared" si="154"/>
        <v>0.25867296</v>
      </c>
      <c r="D906">
        <f ca="1" t="shared" si="155"/>
        <v>6</v>
      </c>
      <c r="E906">
        <f ca="1" t="shared" si="156"/>
        <v>1</v>
      </c>
      <c r="F906">
        <f ca="1" t="shared" si="157"/>
        <v>0.452815638912</v>
      </c>
      <c r="G906">
        <f ca="1" t="shared" si="158"/>
        <v>0.0620064952416</v>
      </c>
      <c r="H906">
        <f ca="1" t="shared" si="159"/>
        <v>0.573271013952</v>
      </c>
      <c r="I906">
        <f ca="1" t="shared" si="160"/>
        <v>1185</v>
      </c>
      <c r="J906">
        <f ca="1" t="shared" si="161"/>
        <v>138</v>
      </c>
      <c r="K906">
        <f ca="1" t="shared" si="162"/>
        <v>24086</v>
      </c>
      <c r="L906">
        <f ca="1" t="shared" si="163"/>
        <v>4063</v>
      </c>
      <c r="M906">
        <f ca="1" t="shared" si="164"/>
        <v>0.0210896064288</v>
      </c>
    </row>
    <row r="907" spans="1:13">
      <c r="A907" t="str">
        <f ca="1">OFFSET($N$2,(ROW(907:907)-2)/35,0)</f>
        <v>西藏自治区</v>
      </c>
      <c r="B907">
        <f ca="1">OFFSET($O$1,0,MOD(ROW(907:907)-2,35))</f>
        <v>2020</v>
      </c>
      <c r="C907">
        <f ca="1" t="shared" si="154"/>
        <v>0.256368</v>
      </c>
      <c r="D907">
        <f ca="1" t="shared" si="155"/>
        <v>6</v>
      </c>
      <c r="E907">
        <f ca="1" t="shared" si="156"/>
        <v>1</v>
      </c>
      <c r="F907">
        <f ca="1" t="shared" si="157"/>
        <v>0.4641286272</v>
      </c>
      <c r="G907">
        <f ca="1" t="shared" si="158"/>
        <v>0.05300921136</v>
      </c>
      <c r="H907">
        <f ca="1" t="shared" si="159"/>
        <v>0.590479596</v>
      </c>
      <c r="I907">
        <f ca="1" t="shared" si="160"/>
        <v>1422</v>
      </c>
      <c r="J907">
        <f ca="1" t="shared" si="161"/>
        <v>184</v>
      </c>
      <c r="K907">
        <f ca="1" t="shared" si="162"/>
        <v>18215</v>
      </c>
      <c r="L907">
        <f ca="1" t="shared" si="163"/>
        <v>3411</v>
      </c>
      <c r="M907">
        <f ca="1" t="shared" si="164"/>
        <v>0.02080353072</v>
      </c>
    </row>
    <row r="908" spans="1:13">
      <c r="A908" t="str">
        <f ca="1">OFFSET($N$2,(ROW(908:908)-2)/35,0)</f>
        <v>西藏自治区</v>
      </c>
      <c r="B908">
        <f ca="1">OFFSET($O$1,0,MOD(ROW(908:908)-2,35))</f>
        <v>2021</v>
      </c>
      <c r="C908">
        <f ca="1" t="shared" si="154"/>
        <v>0.27503784</v>
      </c>
      <c r="D908">
        <f ca="1" t="shared" si="155"/>
        <v>6</v>
      </c>
      <c r="E908">
        <f ca="1" t="shared" si="156"/>
        <v>1</v>
      </c>
      <c r="F908">
        <f ca="1" t="shared" si="157"/>
        <v>0.468536128368</v>
      </c>
      <c r="G908">
        <f ca="1" t="shared" si="158"/>
        <v>0.0671601149604</v>
      </c>
      <c r="H908">
        <f ca="1" t="shared" si="159"/>
        <v>0.59421925332</v>
      </c>
      <c r="I908">
        <f ca="1" t="shared" si="160"/>
        <v>1531</v>
      </c>
      <c r="J908">
        <f ca="1" t="shared" si="161"/>
        <v>201</v>
      </c>
      <c r="K908">
        <f ca="1" t="shared" si="162"/>
        <v>27712</v>
      </c>
      <c r="L908">
        <f ca="1" t="shared" si="163"/>
        <v>5494</v>
      </c>
      <c r="M908">
        <f ca="1" t="shared" si="164"/>
        <v>0.0197960449896</v>
      </c>
    </row>
    <row r="909" spans="1:13">
      <c r="A909" t="str">
        <f ca="1">OFFSET($N$2,(ROW(909:909)-2)/35,0)</f>
        <v>西藏自治区</v>
      </c>
      <c r="B909">
        <f ca="1">OFFSET($O$1,0,MOD(ROW(909:909)-2,35))</f>
        <v>2022</v>
      </c>
      <c r="C909">
        <f ca="1" t="shared" si="154"/>
        <v>0.27895896</v>
      </c>
      <c r="D909">
        <f ca="1" t="shared" si="155"/>
        <v>6</v>
      </c>
      <c r="E909">
        <f ca="1" t="shared" si="156"/>
        <v>1</v>
      </c>
      <c r="F909">
        <f ca="1" t="shared" si="157"/>
        <v>0.521020948224</v>
      </c>
      <c r="G909">
        <f ca="1" t="shared" si="158"/>
        <v>0.0670701027528</v>
      </c>
      <c r="H909">
        <f ca="1" t="shared" si="159"/>
        <v>0.628606120464</v>
      </c>
      <c r="I909">
        <f ca="1" t="shared" si="160"/>
        <v>1345</v>
      </c>
      <c r="J909">
        <f ca="1" t="shared" si="161"/>
        <v>152</v>
      </c>
      <c r="K909">
        <f ca="1" t="shared" si="162"/>
        <v>27373</v>
      </c>
      <c r="L909">
        <f ca="1" t="shared" si="163"/>
        <v>3306</v>
      </c>
      <c r="M909">
        <f ca="1" t="shared" si="164"/>
        <v>0.0222836402376</v>
      </c>
    </row>
    <row r="910" spans="1:13">
      <c r="A910" t="str">
        <f ca="1">OFFSET($N$2,(ROW(910:910)-2)/35,0)</f>
        <v>西藏自治区</v>
      </c>
      <c r="B910">
        <f ca="1">OFFSET($O$1,0,MOD(ROW(910:910)-2,35))</f>
        <v>2023</v>
      </c>
      <c r="C910">
        <f ca="1" t="shared" si="154"/>
        <v>0.26020848</v>
      </c>
      <c r="D910">
        <f ca="1" t="shared" si="155"/>
        <v>6</v>
      </c>
      <c r="E910">
        <f ca="1" t="shared" si="156"/>
        <v>1</v>
      </c>
      <c r="F910">
        <f ca="1" t="shared" si="157"/>
        <v>0.438390573488</v>
      </c>
      <c r="G910">
        <f ca="1" t="shared" si="158"/>
        <v>0.0625463123376</v>
      </c>
      <c r="H910">
        <f ca="1" t="shared" si="159"/>
        <v>0.600196879968</v>
      </c>
      <c r="I910">
        <f ca="1" t="shared" si="160"/>
        <v>1441</v>
      </c>
      <c r="J910">
        <f ca="1" t="shared" si="161"/>
        <v>249</v>
      </c>
      <c r="K910">
        <f ca="1" t="shared" si="162"/>
        <v>25823</v>
      </c>
      <c r="L910">
        <f ca="1" t="shared" si="163"/>
        <v>5126</v>
      </c>
      <c r="M910">
        <f ca="1" t="shared" si="164"/>
        <v>0.0211110857088</v>
      </c>
    </row>
    <row r="911" spans="1:13">
      <c r="A911" t="str">
        <f ca="1">OFFSET($N$2,(ROW(911:911)-2)/35,0)</f>
        <v>西藏自治区</v>
      </c>
      <c r="B911">
        <f ca="1">OFFSET($O$1,0,MOD(ROW(911:911)-2,35))</f>
        <v>2024</v>
      </c>
      <c r="C911">
        <f ca="1" t="shared" si="154"/>
        <v>0.29375808</v>
      </c>
      <c r="D911">
        <f ca="1" t="shared" si="155"/>
        <v>7</v>
      </c>
      <c r="E911">
        <f ca="1" t="shared" si="156"/>
        <v>2</v>
      </c>
      <c r="F911">
        <f ca="1" t="shared" si="157"/>
        <v>0.558610364928</v>
      </c>
      <c r="G911">
        <f ca="1" t="shared" si="158"/>
        <v>0.0658341233088</v>
      </c>
      <c r="H911">
        <f ca="1" t="shared" si="159"/>
        <v>0.699834561888</v>
      </c>
      <c r="I911">
        <f ca="1" t="shared" si="160"/>
        <v>1670</v>
      </c>
      <c r="J911">
        <f ca="1" t="shared" si="161"/>
        <v>280</v>
      </c>
      <c r="K911">
        <f ca="1" t="shared" si="162"/>
        <v>19864</v>
      </c>
      <c r="L911">
        <f ca="1" t="shared" si="163"/>
        <v>5229</v>
      </c>
      <c r="M911">
        <f ca="1" t="shared" si="164"/>
        <v>0.0225346019712</v>
      </c>
    </row>
    <row r="912" spans="1:13">
      <c r="A912" t="str">
        <f ca="1">OFFSET($N$2,(ROW(912:912)-2)/35,0)</f>
        <v>陕西省</v>
      </c>
      <c r="B912">
        <f ca="1">OFFSET($O$1,0,MOD(ROW(912:912)-2,35))</f>
        <v>1990</v>
      </c>
      <c r="C912">
        <f ca="1" t="shared" si="154"/>
        <v>0.0596148</v>
      </c>
      <c r="D912">
        <f ca="1" t="shared" si="155"/>
        <v>1</v>
      </c>
      <c r="E912">
        <f ca="1" t="shared" si="156"/>
        <v>0</v>
      </c>
      <c r="F912">
        <f ca="1" t="shared" si="157"/>
        <v>0.10184989864</v>
      </c>
      <c r="G912">
        <f ca="1" t="shared" si="158"/>
        <v>0.01443125271</v>
      </c>
      <c r="H912">
        <f ca="1" t="shared" si="159"/>
        <v>0.13003776324</v>
      </c>
      <c r="I912">
        <f ca="1" t="shared" si="160"/>
        <v>262</v>
      </c>
      <c r="J912">
        <f ca="1" t="shared" si="161"/>
        <v>12</v>
      </c>
      <c r="K912">
        <f ca="1" t="shared" si="162"/>
        <v>6347</v>
      </c>
      <c r="L912">
        <f ca="1" t="shared" si="163"/>
        <v>809</v>
      </c>
      <c r="M912">
        <f ca="1" t="shared" si="164"/>
        <v>0.004605158136</v>
      </c>
    </row>
    <row r="913" spans="1:13">
      <c r="A913" t="str">
        <f ca="1">OFFSET($N$2,(ROW(913:913)-2)/35,0)</f>
        <v>陕西省</v>
      </c>
      <c r="B913">
        <f ca="1">OFFSET($O$1,0,MOD(ROW(913:913)-2,35))</f>
        <v>1991</v>
      </c>
      <c r="C913">
        <f ca="1" t="shared" si="154"/>
        <v>0.07295904</v>
      </c>
      <c r="D913">
        <f ca="1" t="shared" si="155"/>
        <v>1</v>
      </c>
      <c r="E913">
        <f ca="1" t="shared" si="156"/>
        <v>0</v>
      </c>
      <c r="F913">
        <f ca="1" t="shared" si="157"/>
        <v>0.137401328064</v>
      </c>
      <c r="G913">
        <f ca="1" t="shared" si="158"/>
        <v>0.0172540833696</v>
      </c>
      <c r="H913">
        <f ca="1" t="shared" si="159"/>
        <v>0.175751031456</v>
      </c>
      <c r="I913">
        <f ca="1" t="shared" si="160"/>
        <v>293</v>
      </c>
      <c r="J913">
        <f ca="1" t="shared" si="161"/>
        <v>10</v>
      </c>
      <c r="K913">
        <f ca="1" t="shared" si="162"/>
        <v>7487</v>
      </c>
      <c r="L913">
        <f ca="1" t="shared" si="163"/>
        <v>922</v>
      </c>
      <c r="M913">
        <f ca="1" t="shared" si="164"/>
        <v>0.0061809856416</v>
      </c>
    </row>
    <row r="914" spans="1:13">
      <c r="A914" t="str">
        <f ca="1">OFFSET($N$2,(ROW(914:914)-2)/35,0)</f>
        <v>陕西省</v>
      </c>
      <c r="B914">
        <f ca="1">OFFSET($O$1,0,MOD(ROW(914:914)-2,35))</f>
        <v>1992</v>
      </c>
      <c r="C914">
        <f ca="1" t="shared" si="154"/>
        <v>0.0717696</v>
      </c>
      <c r="D914">
        <f ca="1" t="shared" si="155"/>
        <v>1</v>
      </c>
      <c r="E914">
        <f ca="1" t="shared" si="156"/>
        <v>0</v>
      </c>
      <c r="F914">
        <f ca="1" t="shared" si="157"/>
        <v>0.12424274688</v>
      </c>
      <c r="G914">
        <f ca="1" t="shared" si="158"/>
        <v>0.0170093952</v>
      </c>
      <c r="H914">
        <f ca="1" t="shared" si="159"/>
        <v>0.14609778624</v>
      </c>
      <c r="I914">
        <f ca="1" t="shared" si="160"/>
        <v>382</v>
      </c>
      <c r="J914">
        <f ca="1" t="shared" si="161"/>
        <v>13</v>
      </c>
      <c r="K914">
        <f ca="1" t="shared" si="162"/>
        <v>4850</v>
      </c>
      <c r="L914">
        <f ca="1" t="shared" si="163"/>
        <v>892</v>
      </c>
      <c r="M914">
        <f ca="1" t="shared" si="164"/>
        <v>0.0056185344</v>
      </c>
    </row>
    <row r="915" spans="1:13">
      <c r="A915" t="str">
        <f ca="1">OFFSET($N$2,(ROW(915:915)-2)/35,0)</f>
        <v>陕西省</v>
      </c>
      <c r="B915">
        <f ca="1">OFFSET($O$1,0,MOD(ROW(915:915)-2,35))</f>
        <v>1993</v>
      </c>
      <c r="C915">
        <f ca="1" t="shared" si="154"/>
        <v>0.07849296</v>
      </c>
      <c r="D915">
        <f ca="1" t="shared" si="155"/>
        <v>2</v>
      </c>
      <c r="E915">
        <f ca="1" t="shared" si="156"/>
        <v>1</v>
      </c>
      <c r="F915">
        <f ca="1" t="shared" si="157"/>
        <v>0.137838870624</v>
      </c>
      <c r="G915">
        <f ca="1" t="shared" si="158"/>
        <v>0.0192782634408</v>
      </c>
      <c r="H915">
        <f ca="1" t="shared" si="159"/>
        <v>0.182935692576</v>
      </c>
      <c r="I915">
        <f ca="1" t="shared" si="160"/>
        <v>355</v>
      </c>
      <c r="J915">
        <f ca="1" t="shared" si="161"/>
        <v>12</v>
      </c>
      <c r="K915">
        <f ca="1" t="shared" si="162"/>
        <v>5883</v>
      </c>
      <c r="L915">
        <f ca="1" t="shared" si="163"/>
        <v>1139</v>
      </c>
      <c r="M915">
        <f ca="1" t="shared" si="164"/>
        <v>0.0059875551216</v>
      </c>
    </row>
    <row r="916" spans="1:13">
      <c r="A916" t="str">
        <f ca="1">OFFSET($N$2,(ROW(916:916)-2)/35,0)</f>
        <v>陕西省</v>
      </c>
      <c r="B916">
        <f ca="1">OFFSET($O$1,0,MOD(ROW(916:916)-2,35))</f>
        <v>1994</v>
      </c>
      <c r="C916">
        <f ca="1" t="shared" si="154"/>
        <v>0.08594208</v>
      </c>
      <c r="D916">
        <f ca="1" t="shared" si="155"/>
        <v>3</v>
      </c>
      <c r="E916">
        <f ca="1" t="shared" si="156"/>
        <v>1</v>
      </c>
      <c r="F916">
        <f ca="1" t="shared" si="157"/>
        <v>0.147296130912</v>
      </c>
      <c r="G916">
        <f ca="1" t="shared" si="158"/>
        <v>0.0190043721504</v>
      </c>
      <c r="H916">
        <f ca="1" t="shared" si="159"/>
        <v>0.209170131408</v>
      </c>
      <c r="I916">
        <f ca="1" t="shared" si="160"/>
        <v>363</v>
      </c>
      <c r="J916">
        <f ca="1" t="shared" si="161"/>
        <v>13</v>
      </c>
      <c r="K916">
        <f ca="1" t="shared" si="162"/>
        <v>5902</v>
      </c>
      <c r="L916">
        <f ca="1" t="shared" si="163"/>
        <v>1335</v>
      </c>
      <c r="M916">
        <f ca="1" t="shared" si="164"/>
        <v>0.0062451654048</v>
      </c>
    </row>
    <row r="917" spans="1:13">
      <c r="A917" t="str">
        <f ca="1">OFFSET($N$2,(ROW(917:917)-2)/35,0)</f>
        <v>陕西省</v>
      </c>
      <c r="B917">
        <f ca="1">OFFSET($O$1,0,MOD(ROW(917:917)-2,35))</f>
        <v>1995</v>
      </c>
      <c r="C917">
        <f ca="1" t="shared" si="154"/>
        <v>0.0963774</v>
      </c>
      <c r="D917">
        <f ca="1" t="shared" si="155"/>
        <v>3</v>
      </c>
      <c r="E917">
        <f ca="1" t="shared" si="156"/>
        <v>1</v>
      </c>
      <c r="F917">
        <f ca="1" t="shared" si="157"/>
        <v>0.166572273</v>
      </c>
      <c r="G917">
        <f ca="1" t="shared" si="158"/>
        <v>0.020808844434</v>
      </c>
      <c r="H917">
        <f ca="1" t="shared" si="159"/>
        <v>0.20593440945</v>
      </c>
      <c r="I917">
        <f ca="1" t="shared" si="160"/>
        <v>407</v>
      </c>
      <c r="J917">
        <f ca="1" t="shared" si="161"/>
        <v>18</v>
      </c>
      <c r="K917">
        <f ca="1" t="shared" si="162"/>
        <v>6723</v>
      </c>
      <c r="L917">
        <f ca="1" t="shared" si="163"/>
        <v>1254</v>
      </c>
      <c r="M917">
        <f ca="1" t="shared" si="164"/>
        <v>0.007217703486</v>
      </c>
    </row>
    <row r="918" spans="1:13">
      <c r="A918" t="str">
        <f ca="1">OFFSET($N$2,(ROW(918:918)-2)/35,0)</f>
        <v>陕西省</v>
      </c>
      <c r="B918">
        <f ca="1">OFFSET($O$1,0,MOD(ROW(918:918)-2,35))</f>
        <v>1996</v>
      </c>
      <c r="C918">
        <f ca="1" t="shared" si="154"/>
        <v>0.10539648</v>
      </c>
      <c r="D918">
        <f ca="1" t="shared" si="155"/>
        <v>3</v>
      </c>
      <c r="E918">
        <f ca="1" t="shared" si="156"/>
        <v>1</v>
      </c>
      <c r="F918">
        <f ca="1" t="shared" si="157"/>
        <v>0.202087210752</v>
      </c>
      <c r="G918">
        <f ca="1" t="shared" si="158"/>
        <v>0.0247476204864</v>
      </c>
      <c r="H918">
        <f ca="1" t="shared" si="159"/>
        <v>0.245668655232</v>
      </c>
      <c r="I918">
        <f ca="1" t="shared" si="160"/>
        <v>532</v>
      </c>
      <c r="J918">
        <f ca="1" t="shared" si="161"/>
        <v>19</v>
      </c>
      <c r="K918">
        <f ca="1" t="shared" si="162"/>
        <v>11046</v>
      </c>
      <c r="L918">
        <f ca="1" t="shared" si="163"/>
        <v>1587</v>
      </c>
      <c r="M918">
        <f ca="1" t="shared" si="164"/>
        <v>0.0083725458048</v>
      </c>
    </row>
    <row r="919" spans="1:13">
      <c r="A919" t="str">
        <f ca="1">OFFSET($N$2,(ROW(919:919)-2)/35,0)</f>
        <v>陕西省</v>
      </c>
      <c r="B919">
        <f ca="1">OFFSET($O$1,0,MOD(ROW(919:919)-2,35))</f>
        <v>1997</v>
      </c>
      <c r="C919">
        <f ca="1" t="shared" si="154"/>
        <v>0.10822812</v>
      </c>
      <c r="D919">
        <f ca="1" t="shared" si="155"/>
        <v>3</v>
      </c>
      <c r="E919">
        <f ca="1" t="shared" si="156"/>
        <v>1</v>
      </c>
      <c r="F919">
        <f ca="1" t="shared" si="157"/>
        <v>0.20189955786</v>
      </c>
      <c r="G919">
        <f ca="1" t="shared" si="158"/>
        <v>0.0224508412128</v>
      </c>
      <c r="H919">
        <f ca="1" t="shared" si="159"/>
        <v>0.25693355688</v>
      </c>
      <c r="I919">
        <f ca="1" t="shared" si="160"/>
        <v>493</v>
      </c>
      <c r="J919">
        <f ca="1" t="shared" si="161"/>
        <v>17</v>
      </c>
      <c r="K919">
        <f ca="1" t="shared" si="162"/>
        <v>12420</v>
      </c>
      <c r="L919">
        <f ca="1" t="shared" si="163"/>
        <v>1535</v>
      </c>
      <c r="M919">
        <f ca="1" t="shared" si="164"/>
        <v>0.00790838334</v>
      </c>
    </row>
    <row r="920" spans="1:13">
      <c r="A920" t="str">
        <f ca="1">OFFSET($N$2,(ROW(920:920)-2)/35,0)</f>
        <v>陕西省</v>
      </c>
      <c r="B920">
        <f ca="1">OFFSET($O$1,0,MOD(ROW(920:920)-2,35))</f>
        <v>1998</v>
      </c>
      <c r="C920">
        <f ca="1" t="shared" si="154"/>
        <v>0.106218</v>
      </c>
      <c r="D920">
        <f ca="1" t="shared" si="155"/>
        <v>3</v>
      </c>
      <c r="E920">
        <f ca="1" t="shared" si="156"/>
        <v>1</v>
      </c>
      <c r="F920">
        <f ca="1" t="shared" si="157"/>
        <v>0.2010034026</v>
      </c>
      <c r="G920">
        <f ca="1" t="shared" si="158"/>
        <v>0.02274605361</v>
      </c>
      <c r="H920">
        <f ca="1" t="shared" si="159"/>
        <v>0.2521137339</v>
      </c>
      <c r="I920">
        <f ca="1" t="shared" si="160"/>
        <v>599</v>
      </c>
      <c r="J920">
        <f ca="1" t="shared" si="161"/>
        <v>13</v>
      </c>
      <c r="K920">
        <f ca="1" t="shared" si="162"/>
        <v>6525</v>
      </c>
      <c r="L920">
        <f ca="1" t="shared" si="163"/>
        <v>2068</v>
      </c>
      <c r="M920">
        <f ca="1" t="shared" si="164"/>
        <v>0.0078366123</v>
      </c>
    </row>
    <row r="921" spans="1:13">
      <c r="A921" t="str">
        <f ca="1">OFFSET($N$2,(ROW(921:921)-2)/35,0)</f>
        <v>陕西省</v>
      </c>
      <c r="B921">
        <f ca="1">OFFSET($O$1,0,MOD(ROW(921:921)-2,35))</f>
        <v>1999</v>
      </c>
      <c r="C921">
        <f ca="1" t="shared" si="154"/>
        <v>0.1223334</v>
      </c>
      <c r="D921">
        <f ca="1" t="shared" si="155"/>
        <v>3</v>
      </c>
      <c r="E921">
        <f ca="1" t="shared" si="156"/>
        <v>1</v>
      </c>
      <c r="F921">
        <f ca="1" t="shared" si="157"/>
        <v>0.22905298038</v>
      </c>
      <c r="G921">
        <f ca="1" t="shared" si="158"/>
        <v>0.029320257645</v>
      </c>
      <c r="H921">
        <f ca="1" t="shared" si="159"/>
        <v>0.27991105254</v>
      </c>
      <c r="I921">
        <f ca="1" t="shared" si="160"/>
        <v>626</v>
      </c>
      <c r="J921">
        <f ca="1" t="shared" si="161"/>
        <v>22</v>
      </c>
      <c r="K921">
        <f ca="1" t="shared" si="162"/>
        <v>9463</v>
      </c>
      <c r="L921">
        <f ca="1" t="shared" si="163"/>
        <v>1362</v>
      </c>
      <c r="M921">
        <f ca="1" t="shared" si="164"/>
        <v>0.009842071554</v>
      </c>
    </row>
    <row r="922" spans="1:13">
      <c r="A922" t="str">
        <f ca="1">OFFSET($N$2,(ROW(922:922)-2)/35,0)</f>
        <v>陕西省</v>
      </c>
      <c r="B922">
        <f ca="1">OFFSET($O$1,0,MOD(ROW(922:922)-2,35))</f>
        <v>2000</v>
      </c>
      <c r="C922">
        <f ca="1" t="shared" si="154"/>
        <v>0.1217664</v>
      </c>
      <c r="D922">
        <f ca="1" t="shared" si="155"/>
        <v>3</v>
      </c>
      <c r="E922">
        <f ca="1" t="shared" si="156"/>
        <v>1</v>
      </c>
      <c r="F922">
        <f ca="1" t="shared" si="157"/>
        <v>0.22690762752</v>
      </c>
      <c r="G922">
        <f ca="1" t="shared" si="158"/>
        <v>0.026668059264</v>
      </c>
      <c r="H922">
        <f ca="1" t="shared" si="159"/>
        <v>0.28160915328</v>
      </c>
      <c r="I922">
        <f ca="1" t="shared" si="160"/>
        <v>678</v>
      </c>
      <c r="J922">
        <f ca="1" t="shared" si="161"/>
        <v>20</v>
      </c>
      <c r="K922">
        <f ca="1" t="shared" si="162"/>
        <v>7763</v>
      </c>
      <c r="L922">
        <f ca="1" t="shared" si="163"/>
        <v>1858</v>
      </c>
      <c r="M922">
        <f ca="1" t="shared" si="164"/>
        <v>0.009294951168</v>
      </c>
    </row>
    <row r="923" spans="1:13">
      <c r="A923" t="str">
        <f ca="1">OFFSET($N$2,(ROW(923:923)-2)/35,0)</f>
        <v>陕西省</v>
      </c>
      <c r="B923">
        <f ca="1">OFFSET($O$1,0,MOD(ROW(923:923)-2,35))</f>
        <v>2001</v>
      </c>
      <c r="C923">
        <f ca="1" t="shared" si="154"/>
        <v>0.13835052</v>
      </c>
      <c r="D923">
        <f ca="1" t="shared" si="155"/>
        <v>3</v>
      </c>
      <c r="E923">
        <f ca="1" t="shared" si="156"/>
        <v>1</v>
      </c>
      <c r="F923">
        <f ca="1" t="shared" si="157"/>
        <v>0.274238400744</v>
      </c>
      <c r="G923">
        <f ca="1" t="shared" si="158"/>
        <v>0.029634681384</v>
      </c>
      <c r="H923">
        <f ca="1" t="shared" si="159"/>
        <v>0.323760969378</v>
      </c>
      <c r="I923">
        <f ca="1" t="shared" si="160"/>
        <v>613</v>
      </c>
      <c r="J923">
        <f ca="1" t="shared" si="161"/>
        <v>21</v>
      </c>
      <c r="K923">
        <f ca="1" t="shared" si="162"/>
        <v>9091</v>
      </c>
      <c r="L923">
        <f ca="1" t="shared" si="163"/>
        <v>2765</v>
      </c>
      <c r="M923">
        <f ca="1" t="shared" si="164"/>
        <v>0.0109292957928</v>
      </c>
    </row>
    <row r="924" spans="1:13">
      <c r="A924" t="str">
        <f ca="1">OFFSET($N$2,(ROW(924:924)-2)/35,0)</f>
        <v>陕西省</v>
      </c>
      <c r="B924">
        <f ca="1">OFFSET($O$1,0,MOD(ROW(924:924)-2,35))</f>
        <v>2002</v>
      </c>
      <c r="C924">
        <f ca="1" t="shared" si="154"/>
        <v>0.14342328</v>
      </c>
      <c r="D924">
        <f ca="1" t="shared" si="155"/>
        <v>3</v>
      </c>
      <c r="E924">
        <f ca="1" t="shared" si="156"/>
        <v>1</v>
      </c>
      <c r="F924">
        <f ca="1" t="shared" si="157"/>
        <v>0.268684391976</v>
      </c>
      <c r="G924">
        <f ca="1" t="shared" si="158"/>
        <v>0.0349852406904</v>
      </c>
      <c r="H924">
        <f ca="1" t="shared" si="159"/>
        <v>0.3535383852</v>
      </c>
      <c r="I924">
        <f ca="1" t="shared" si="160"/>
        <v>740</v>
      </c>
      <c r="J924">
        <f ca="1" t="shared" si="161"/>
        <v>22</v>
      </c>
      <c r="K924">
        <f ca="1" t="shared" si="162"/>
        <v>9627</v>
      </c>
      <c r="L924">
        <f ca="1" t="shared" si="163"/>
        <v>2040</v>
      </c>
      <c r="M924">
        <f ca="1" t="shared" si="164"/>
        <v>0.011464642332</v>
      </c>
    </row>
    <row r="925" spans="1:13">
      <c r="A925" t="str">
        <f ca="1">OFFSET($N$2,(ROW(925:925)-2)/35,0)</f>
        <v>陕西省</v>
      </c>
      <c r="B925">
        <f ca="1">OFFSET($O$1,0,MOD(ROW(925:925)-2,35))</f>
        <v>2003</v>
      </c>
      <c r="C925">
        <f ca="1" t="shared" si="154"/>
        <v>0.14694792</v>
      </c>
      <c r="D925">
        <f ca="1" t="shared" si="155"/>
        <v>3</v>
      </c>
      <c r="E925">
        <f ca="1" t="shared" si="156"/>
        <v>1</v>
      </c>
      <c r="F925">
        <f ca="1" t="shared" si="157"/>
        <v>0.265054861568</v>
      </c>
      <c r="G925">
        <f ca="1" t="shared" si="158"/>
        <v>0.0301955933412</v>
      </c>
      <c r="H925">
        <f ca="1" t="shared" si="159"/>
        <v>0.328406559012</v>
      </c>
      <c r="I925">
        <f ca="1" t="shared" si="160"/>
        <v>715</v>
      </c>
      <c r="J925">
        <f ca="1" t="shared" si="161"/>
        <v>15</v>
      </c>
      <c r="K925">
        <f ca="1" t="shared" si="162"/>
        <v>12365</v>
      </c>
      <c r="L925">
        <f ca="1" t="shared" si="163"/>
        <v>2633</v>
      </c>
      <c r="M925">
        <f ca="1" t="shared" si="164"/>
        <v>0.0122441205456</v>
      </c>
    </row>
    <row r="926" spans="1:13">
      <c r="A926" t="str">
        <f ca="1">OFFSET($N$2,(ROW(926:926)-2)/35,0)</f>
        <v>陕西省</v>
      </c>
      <c r="B926">
        <f ca="1">OFFSET($O$1,0,MOD(ROW(926:926)-2,35))</f>
        <v>2004</v>
      </c>
      <c r="C926">
        <f ca="1" t="shared" si="154"/>
        <v>0.15426432</v>
      </c>
      <c r="D926">
        <f ca="1" t="shared" si="155"/>
        <v>3</v>
      </c>
      <c r="E926">
        <f ca="1" t="shared" si="156"/>
        <v>1</v>
      </c>
      <c r="F926">
        <f ca="1" t="shared" si="157"/>
        <v>0.300985114752</v>
      </c>
      <c r="G926">
        <f ca="1" t="shared" si="158"/>
        <v>0.033448361184</v>
      </c>
      <c r="H926">
        <f ca="1" t="shared" si="159"/>
        <v>0.365112792576</v>
      </c>
      <c r="I926">
        <f ca="1" t="shared" si="160"/>
        <v>901</v>
      </c>
      <c r="J926">
        <f ca="1" t="shared" si="161"/>
        <v>20</v>
      </c>
      <c r="K926">
        <f ca="1" t="shared" si="162"/>
        <v>10509</v>
      </c>
      <c r="L926">
        <f ca="1" t="shared" si="163"/>
        <v>1853</v>
      </c>
      <c r="M926">
        <f ca="1" t="shared" si="164"/>
        <v>0.0119936101248</v>
      </c>
    </row>
    <row r="927" spans="1:13">
      <c r="A927" t="str">
        <f ca="1">OFFSET($N$2,(ROW(927:927)-2)/35,0)</f>
        <v>陕西省</v>
      </c>
      <c r="B927">
        <f ca="1">OFFSET($O$1,0,MOD(ROW(927:927)-2,35))</f>
        <v>2005</v>
      </c>
      <c r="C927">
        <f ca="1" t="shared" si="154"/>
        <v>0.166719</v>
      </c>
      <c r="D927">
        <f ca="1" t="shared" si="155"/>
        <v>3</v>
      </c>
      <c r="E927">
        <f ca="1" t="shared" si="156"/>
        <v>1</v>
      </c>
      <c r="F927">
        <f ca="1" t="shared" si="157"/>
        <v>0.3003498358</v>
      </c>
      <c r="G927">
        <f ca="1" t="shared" si="158"/>
        <v>0.035623682325</v>
      </c>
      <c r="H927">
        <f ca="1" t="shared" si="159"/>
        <v>0.3982416753</v>
      </c>
      <c r="I927">
        <f ca="1" t="shared" si="160"/>
        <v>981</v>
      </c>
      <c r="J927">
        <f ca="1" t="shared" si="161"/>
        <v>28</v>
      </c>
      <c r="K927">
        <f ca="1" t="shared" si="162"/>
        <v>17285</v>
      </c>
      <c r="L927">
        <f ca="1" t="shared" si="163"/>
        <v>2984</v>
      </c>
      <c r="M927">
        <f ca="1" t="shared" si="164"/>
        <v>0.01379837895</v>
      </c>
    </row>
    <row r="928" spans="1:13">
      <c r="A928" t="str">
        <f ca="1">OFFSET($N$2,(ROW(928:928)-2)/35,0)</f>
        <v>陕西省</v>
      </c>
      <c r="B928">
        <f ca="1">OFFSET($O$1,0,MOD(ROW(928:928)-2,35))</f>
        <v>2006</v>
      </c>
      <c r="C928">
        <f ca="1" t="shared" si="154"/>
        <v>0.17026464</v>
      </c>
      <c r="D928">
        <f ca="1" t="shared" si="155"/>
        <v>4</v>
      </c>
      <c r="E928">
        <f ca="1" t="shared" si="156"/>
        <v>1</v>
      </c>
      <c r="F928">
        <f ca="1" t="shared" si="157"/>
        <v>0.32270824768</v>
      </c>
      <c r="G928">
        <f ca="1" t="shared" si="158"/>
        <v>0.0346650293808</v>
      </c>
      <c r="H928">
        <f ca="1" t="shared" si="159"/>
        <v>0.422528730624</v>
      </c>
      <c r="I928">
        <f ca="1" t="shared" si="160"/>
        <v>753</v>
      </c>
      <c r="J928">
        <f ca="1" t="shared" si="161"/>
        <v>32</v>
      </c>
      <c r="K928">
        <f ca="1" t="shared" si="162"/>
        <v>13435</v>
      </c>
      <c r="L928">
        <f ca="1" t="shared" si="163"/>
        <v>2103</v>
      </c>
      <c r="M928">
        <f ca="1" t="shared" si="164"/>
        <v>0.012245676144</v>
      </c>
    </row>
    <row r="929" spans="1:13">
      <c r="A929" t="str">
        <f ca="1">OFFSET($N$2,(ROW(929:929)-2)/35,0)</f>
        <v>陕西省</v>
      </c>
      <c r="B929">
        <f ca="1">OFFSET($O$1,0,MOD(ROW(929:929)-2,35))</f>
        <v>2007</v>
      </c>
      <c r="C929">
        <f ca="1" t="shared" si="154"/>
        <v>0.16075584</v>
      </c>
      <c r="D929">
        <f ca="1" t="shared" si="155"/>
        <v>4</v>
      </c>
      <c r="E929">
        <f ca="1" t="shared" si="156"/>
        <v>1</v>
      </c>
      <c r="F929">
        <f ca="1" t="shared" si="157"/>
        <v>0.304375107456</v>
      </c>
      <c r="G929">
        <f ca="1" t="shared" si="158"/>
        <v>0.0390692955744</v>
      </c>
      <c r="H929">
        <f ca="1" t="shared" si="159"/>
        <v>0.381336965856</v>
      </c>
      <c r="I929">
        <f ca="1" t="shared" si="160"/>
        <v>884</v>
      </c>
      <c r="J929">
        <f ca="1" t="shared" si="161"/>
        <v>31</v>
      </c>
      <c r="K929">
        <f ca="1" t="shared" si="162"/>
        <v>13498</v>
      </c>
      <c r="L929">
        <f ca="1" t="shared" si="163"/>
        <v>2618</v>
      </c>
      <c r="M929">
        <f ca="1" t="shared" si="164"/>
        <v>0.0115815396672</v>
      </c>
    </row>
    <row r="930" spans="1:13">
      <c r="A930" t="str">
        <f ca="1">OFFSET($N$2,(ROW(930:930)-2)/35,0)</f>
        <v>陕西省</v>
      </c>
      <c r="B930">
        <f ca="1">OFFSET($O$1,0,MOD(ROW(930:930)-2,35))</f>
        <v>2008</v>
      </c>
      <c r="C930">
        <f ca="1" t="shared" si="154"/>
        <v>0.17261328</v>
      </c>
      <c r="D930">
        <f ca="1" t="shared" si="155"/>
        <v>4</v>
      </c>
      <c r="E930">
        <f ca="1" t="shared" si="156"/>
        <v>1</v>
      </c>
      <c r="F930">
        <f ca="1" t="shared" si="157"/>
        <v>0.301336756672</v>
      </c>
      <c r="G930">
        <f ca="1" t="shared" si="158"/>
        <v>0.0365327376456</v>
      </c>
      <c r="H930">
        <f ca="1" t="shared" si="159"/>
        <v>0.414194196024</v>
      </c>
      <c r="I930">
        <f ca="1" t="shared" si="160"/>
        <v>847</v>
      </c>
      <c r="J930">
        <f ca="1" t="shared" si="161"/>
        <v>34</v>
      </c>
      <c r="K930">
        <f ca="1" t="shared" si="162"/>
        <v>18298</v>
      </c>
      <c r="L930">
        <f ca="1" t="shared" si="163"/>
        <v>1834</v>
      </c>
      <c r="M930">
        <f ca="1" t="shared" si="164"/>
        <v>0.0139543041456</v>
      </c>
    </row>
    <row r="931" spans="1:13">
      <c r="A931" t="str">
        <f ca="1">OFFSET($N$2,(ROW(931:931)-2)/35,0)</f>
        <v>陕西省</v>
      </c>
      <c r="B931">
        <f ca="1">OFFSET($O$1,0,MOD(ROW(931:931)-2,35))</f>
        <v>2009</v>
      </c>
      <c r="C931">
        <f ca="1" t="shared" si="154"/>
        <v>0.1818474</v>
      </c>
      <c r="D931">
        <f ca="1" t="shared" si="155"/>
        <v>5</v>
      </c>
      <c r="E931">
        <f ca="1" t="shared" si="156"/>
        <v>2</v>
      </c>
      <c r="F931">
        <f ca="1" t="shared" si="157"/>
        <v>0.35992449724</v>
      </c>
      <c r="G931">
        <f ca="1" t="shared" si="158"/>
        <v>0.042148590372</v>
      </c>
      <c r="H931">
        <f ca="1" t="shared" si="159"/>
        <v>0.36434945064</v>
      </c>
      <c r="I931">
        <f ca="1" t="shared" si="160"/>
        <v>1062</v>
      </c>
      <c r="J931">
        <f ca="1" t="shared" si="161"/>
        <v>25</v>
      </c>
      <c r="K931">
        <f ca="1" t="shared" si="162"/>
        <v>17089</v>
      </c>
      <c r="L931">
        <f ca="1" t="shared" si="163"/>
        <v>2617</v>
      </c>
      <c r="M931">
        <f ca="1" t="shared" si="164"/>
        <v>0.014917202004</v>
      </c>
    </row>
    <row r="932" spans="1:13">
      <c r="A932" t="str">
        <f ca="1">OFFSET($N$2,(ROW(932:932)-2)/35,0)</f>
        <v>陕西省</v>
      </c>
      <c r="B932">
        <f ca="1">OFFSET($O$1,0,MOD(ROW(932:932)-2,35))</f>
        <v>2010</v>
      </c>
      <c r="C932">
        <f ca="1" t="shared" si="154"/>
        <v>0.1854972</v>
      </c>
      <c r="D932">
        <f ca="1" t="shared" si="155"/>
        <v>6</v>
      </c>
      <c r="E932">
        <f ca="1" t="shared" si="156"/>
        <v>2</v>
      </c>
      <c r="F932">
        <f ca="1" t="shared" si="157"/>
        <v>0.3528775068</v>
      </c>
      <c r="G932">
        <f ca="1" t="shared" si="158"/>
        <v>0.04073054769</v>
      </c>
      <c r="H932">
        <f ca="1" t="shared" si="159"/>
        <v>0.44487793476</v>
      </c>
      <c r="I932">
        <f ca="1" t="shared" si="160"/>
        <v>850</v>
      </c>
      <c r="J932">
        <f ca="1" t="shared" si="161"/>
        <v>21</v>
      </c>
      <c r="K932">
        <f ca="1" t="shared" si="162"/>
        <v>17598</v>
      </c>
      <c r="L932">
        <f ca="1" t="shared" si="163"/>
        <v>2099</v>
      </c>
      <c r="M932">
        <f ca="1" t="shared" si="164"/>
        <v>0.013825636308</v>
      </c>
    </row>
    <row r="933" spans="1:13">
      <c r="A933" t="str">
        <f ca="1">OFFSET($N$2,(ROW(933:933)-2)/35,0)</f>
        <v>陕西省</v>
      </c>
      <c r="B933">
        <f ca="1">OFFSET($O$1,0,MOD(ROW(933:933)-2,35))</f>
        <v>2011</v>
      </c>
      <c r="C933">
        <f ca="1" t="shared" si="154"/>
        <v>0.1954302</v>
      </c>
      <c r="D933">
        <f ca="1" t="shared" si="155"/>
        <v>6</v>
      </c>
      <c r="E933">
        <f ca="1" t="shared" si="156"/>
        <v>2</v>
      </c>
      <c r="F933">
        <f ca="1" t="shared" si="157"/>
        <v>0.3873752281</v>
      </c>
      <c r="G933">
        <f ca="1" t="shared" si="158"/>
        <v>0.041598295221</v>
      </c>
      <c r="H933">
        <f ca="1" t="shared" si="159"/>
        <v>0.39729005358</v>
      </c>
      <c r="I933">
        <f ca="1" t="shared" si="160"/>
        <v>1003</v>
      </c>
      <c r="J933">
        <f ca="1" t="shared" si="161"/>
        <v>34</v>
      </c>
      <c r="K933">
        <f ca="1" t="shared" si="162"/>
        <v>21459</v>
      </c>
      <c r="L933">
        <f ca="1" t="shared" si="163"/>
        <v>2704</v>
      </c>
      <c r="M933">
        <f ca="1" t="shared" si="164"/>
        <v>0.016309208562</v>
      </c>
    </row>
    <row r="934" spans="1:13">
      <c r="A934" t="str">
        <f ca="1">OFFSET($N$2,(ROW(934:934)-2)/35,0)</f>
        <v>陕西省</v>
      </c>
      <c r="B934">
        <f ca="1">OFFSET($O$1,0,MOD(ROW(934:934)-2,35))</f>
        <v>2012</v>
      </c>
      <c r="C934">
        <f ca="1" t="shared" si="154"/>
        <v>0.19025664</v>
      </c>
      <c r="D934">
        <f ca="1" t="shared" si="155"/>
        <v>6</v>
      </c>
      <c r="E934">
        <f ca="1" t="shared" si="156"/>
        <v>2</v>
      </c>
      <c r="F934">
        <f ca="1" t="shared" si="157"/>
        <v>0.339297349888</v>
      </c>
      <c r="G934">
        <f ca="1" t="shared" si="158"/>
        <v>0.038308174464</v>
      </c>
      <c r="H934">
        <f ca="1" t="shared" si="159"/>
        <v>0.417404042496</v>
      </c>
      <c r="I934">
        <f ca="1" t="shared" si="160"/>
        <v>763</v>
      </c>
      <c r="J934">
        <f ca="1" t="shared" si="161"/>
        <v>25</v>
      </c>
      <c r="K934">
        <f ca="1" t="shared" si="162"/>
        <v>21456</v>
      </c>
      <c r="L934">
        <f ca="1" t="shared" si="163"/>
        <v>2243</v>
      </c>
      <c r="M934">
        <f ca="1" t="shared" si="164"/>
        <v>0.0159581833728</v>
      </c>
    </row>
    <row r="935" spans="1:13">
      <c r="A935" t="str">
        <f ca="1">OFFSET($N$2,(ROW(935:935)-2)/35,0)</f>
        <v>陕西省</v>
      </c>
      <c r="B935">
        <f ca="1">OFFSET($O$1,0,MOD(ROW(935:935)-2,35))</f>
        <v>2013</v>
      </c>
      <c r="C935">
        <f ca="1" t="shared" si="154"/>
        <v>0.21796236</v>
      </c>
      <c r="D935">
        <f ca="1" t="shared" si="155"/>
        <v>6</v>
      </c>
      <c r="E935">
        <f ca="1" t="shared" si="156"/>
        <v>2</v>
      </c>
      <c r="F935">
        <f ca="1" t="shared" si="157"/>
        <v>0.39821723172</v>
      </c>
      <c r="G935">
        <f ca="1" t="shared" si="158"/>
        <v>0.0489576154914</v>
      </c>
      <c r="H935">
        <f ca="1" t="shared" si="159"/>
        <v>0.493379598096</v>
      </c>
      <c r="I935">
        <f ca="1" t="shared" si="160"/>
        <v>1246</v>
      </c>
      <c r="J935">
        <f ca="1" t="shared" si="161"/>
        <v>29</v>
      </c>
      <c r="K935">
        <f ca="1" t="shared" si="162"/>
        <v>15361</v>
      </c>
      <c r="L935">
        <f ca="1" t="shared" si="163"/>
        <v>4090</v>
      </c>
      <c r="M935">
        <f ca="1" t="shared" si="164"/>
        <v>0.0169116995124</v>
      </c>
    </row>
    <row r="936" spans="1:13">
      <c r="A936" t="str">
        <f ca="1">OFFSET($N$2,(ROW(936:936)-2)/35,0)</f>
        <v>陕西省</v>
      </c>
      <c r="B936">
        <f ca="1">OFFSET($O$1,0,MOD(ROW(936:936)-2,35))</f>
        <v>2014</v>
      </c>
      <c r="C936">
        <f ca="1" t="shared" si="154"/>
        <v>0.2073456</v>
      </c>
      <c r="D936">
        <f ca="1" t="shared" si="155"/>
        <v>6</v>
      </c>
      <c r="E936">
        <f ca="1" t="shared" si="156"/>
        <v>2</v>
      </c>
      <c r="F936">
        <f ca="1" t="shared" si="157"/>
        <v>0.37832969328</v>
      </c>
      <c r="G936">
        <f ca="1" t="shared" si="158"/>
        <v>0.043491776328</v>
      </c>
      <c r="H936">
        <f ca="1" t="shared" si="159"/>
        <v>0.42551464032</v>
      </c>
      <c r="I936">
        <f ca="1" t="shared" si="160"/>
        <v>1210</v>
      </c>
      <c r="J936">
        <f ca="1" t="shared" si="161"/>
        <v>27</v>
      </c>
      <c r="K936">
        <f ca="1" t="shared" si="162"/>
        <v>23331</v>
      </c>
      <c r="L936">
        <f ca="1" t="shared" si="163"/>
        <v>3649</v>
      </c>
      <c r="M936">
        <f ca="1" t="shared" si="164"/>
        <v>0.015022484928</v>
      </c>
    </row>
    <row r="937" spans="1:13">
      <c r="A937" t="str">
        <f ca="1">OFFSET($N$2,(ROW(937:937)-2)/35,0)</f>
        <v>陕西省</v>
      </c>
      <c r="B937">
        <f ca="1">OFFSET($O$1,0,MOD(ROW(937:937)-2,35))</f>
        <v>2015</v>
      </c>
      <c r="C937">
        <f ca="1" t="shared" si="154"/>
        <v>0.23079</v>
      </c>
      <c r="D937">
        <f ca="1" t="shared" si="155"/>
        <v>7</v>
      </c>
      <c r="E937">
        <f ca="1" t="shared" si="156"/>
        <v>2</v>
      </c>
      <c r="F937">
        <f ca="1" t="shared" si="157"/>
        <v>0.405059529</v>
      </c>
      <c r="G937">
        <f ca="1" t="shared" si="158"/>
        <v>0.0541548735</v>
      </c>
      <c r="H937">
        <f ca="1" t="shared" si="159"/>
        <v>0.548310882</v>
      </c>
      <c r="I937">
        <f ca="1" t="shared" si="160"/>
        <v>940</v>
      </c>
      <c r="J937">
        <f ca="1" t="shared" si="161"/>
        <v>40</v>
      </c>
      <c r="K937">
        <f ca="1" t="shared" si="162"/>
        <v>15153</v>
      </c>
      <c r="L937">
        <f ca="1" t="shared" si="163"/>
        <v>2788</v>
      </c>
      <c r="M937">
        <f ca="1" t="shared" si="164"/>
        <v>0.0166966674</v>
      </c>
    </row>
    <row r="938" spans="1:13">
      <c r="A938" t="str">
        <f ca="1">OFFSET($N$2,(ROW(938:938)-2)/35,0)</f>
        <v>陕西省</v>
      </c>
      <c r="B938">
        <f ca="1">OFFSET($O$1,0,MOD(ROW(938:938)-2,35))</f>
        <v>2016</v>
      </c>
      <c r="C938">
        <f ca="1" t="shared" si="154"/>
        <v>0.22825152</v>
      </c>
      <c r="D938">
        <f ca="1" t="shared" si="155"/>
        <v>7</v>
      </c>
      <c r="E938">
        <f ca="1" t="shared" si="156"/>
        <v>2</v>
      </c>
      <c r="F938">
        <f ca="1" t="shared" si="157"/>
        <v>0.390698126784</v>
      </c>
      <c r="G938">
        <f ca="1" t="shared" si="158"/>
        <v>0.05189868936</v>
      </c>
      <c r="H938">
        <f ca="1" t="shared" si="159"/>
        <v>0.552973544928</v>
      </c>
      <c r="I938">
        <f ca="1" t="shared" si="160"/>
        <v>1286</v>
      </c>
      <c r="J938">
        <f ca="1" t="shared" si="161"/>
        <v>60</v>
      </c>
      <c r="K938">
        <f ca="1" t="shared" si="162"/>
        <v>26810</v>
      </c>
      <c r="L938">
        <f ca="1" t="shared" si="163"/>
        <v>3707</v>
      </c>
      <c r="M938">
        <f ca="1" t="shared" si="164"/>
        <v>0.018030239712</v>
      </c>
    </row>
    <row r="939" spans="1:13">
      <c r="A939" t="str">
        <f ca="1">OFFSET($N$2,(ROW(939:939)-2)/35,0)</f>
        <v>陕西省</v>
      </c>
      <c r="B939">
        <f ca="1">OFFSET($O$1,0,MOD(ROW(939:939)-2,35))</f>
        <v>2017</v>
      </c>
      <c r="C939">
        <f ca="1" t="shared" si="154"/>
        <v>0.23748228</v>
      </c>
      <c r="D939">
        <f ca="1" t="shared" si="155"/>
        <v>8</v>
      </c>
      <c r="E939">
        <f ca="1" t="shared" si="156"/>
        <v>2</v>
      </c>
      <c r="F939">
        <f ca="1" t="shared" si="157"/>
        <v>0.408089549952</v>
      </c>
      <c r="G939">
        <f ca="1" t="shared" si="158"/>
        <v>0.050257187505</v>
      </c>
      <c r="H939">
        <f ca="1" t="shared" si="159"/>
        <v>0.539642858958</v>
      </c>
      <c r="I939">
        <f ca="1" t="shared" si="160"/>
        <v>1263</v>
      </c>
      <c r="J939">
        <f ca="1" t="shared" si="161"/>
        <v>53</v>
      </c>
      <c r="K939">
        <f ca="1" t="shared" si="162"/>
        <v>21358</v>
      </c>
      <c r="L939">
        <f ca="1" t="shared" si="163"/>
        <v>4555</v>
      </c>
      <c r="M939">
        <f ca="1" t="shared" si="164"/>
        <v>0.0200272199328</v>
      </c>
    </row>
    <row r="940" spans="1:13">
      <c r="A940" t="str">
        <f ca="1">OFFSET($N$2,(ROW(940:940)-2)/35,0)</f>
        <v>陕西省</v>
      </c>
      <c r="B940">
        <f ca="1">OFFSET($O$1,0,MOD(ROW(940:940)-2,35))</f>
        <v>2018</v>
      </c>
      <c r="C940">
        <f ca="1" t="shared" si="154"/>
        <v>0.24339</v>
      </c>
      <c r="D940">
        <f ca="1" t="shared" si="155"/>
        <v>8</v>
      </c>
      <c r="E940">
        <f ca="1" t="shared" si="156"/>
        <v>2</v>
      </c>
      <c r="F940">
        <f ca="1" t="shared" si="157"/>
        <v>0.479526978</v>
      </c>
      <c r="G940">
        <f ca="1" t="shared" si="158"/>
        <v>0.05355431865</v>
      </c>
      <c r="H940">
        <f ca="1" t="shared" si="159"/>
        <v>0.5714188725</v>
      </c>
      <c r="I940">
        <f ca="1" t="shared" si="160"/>
        <v>1002</v>
      </c>
      <c r="J940">
        <f ca="1" t="shared" si="161"/>
        <v>175</v>
      </c>
      <c r="K940">
        <f ca="1" t="shared" si="162"/>
        <v>17609</v>
      </c>
      <c r="L940">
        <f ca="1" t="shared" si="163"/>
        <v>2444</v>
      </c>
      <c r="M940">
        <f ca="1" t="shared" si="164"/>
        <v>0.0186294183</v>
      </c>
    </row>
    <row r="941" spans="1:13">
      <c r="A941" t="str">
        <f ca="1">OFFSET($N$2,(ROW(941:941)-2)/35,0)</f>
        <v>陕西省</v>
      </c>
      <c r="B941">
        <f ca="1">OFFSET($O$1,0,MOD(ROW(941:941)-2,35))</f>
        <v>2019</v>
      </c>
      <c r="C941">
        <f ca="1" t="shared" si="154"/>
        <v>0.24730524</v>
      </c>
      <c r="D941">
        <f ca="1" t="shared" si="155"/>
        <v>8</v>
      </c>
      <c r="E941">
        <f ca="1" t="shared" si="156"/>
        <v>2</v>
      </c>
      <c r="F941">
        <f ca="1" t="shared" si="157"/>
        <v>0.44416021104</v>
      </c>
      <c r="G941">
        <f ca="1" t="shared" si="158"/>
        <v>0.0595770688422</v>
      </c>
      <c r="H941">
        <f ca="1" t="shared" si="159"/>
        <v>0.587263388166</v>
      </c>
      <c r="I941">
        <f ca="1" t="shared" si="160"/>
        <v>1468</v>
      </c>
      <c r="J941">
        <f ca="1" t="shared" si="161"/>
        <v>247</v>
      </c>
      <c r="K941">
        <f ca="1" t="shared" si="162"/>
        <v>16521</v>
      </c>
      <c r="L941">
        <f ca="1" t="shared" si="163"/>
        <v>4830</v>
      </c>
      <c r="M941">
        <f ca="1" t="shared" si="164"/>
        <v>0.0178992466848</v>
      </c>
    </row>
    <row r="942" spans="1:13">
      <c r="A942" t="str">
        <f ca="1">OFFSET($N$2,(ROW(942:942)-2)/35,0)</f>
        <v>陕西省</v>
      </c>
      <c r="B942">
        <f ca="1">OFFSET($O$1,0,MOD(ROW(942:942)-2,35))</f>
        <v>2020</v>
      </c>
      <c r="C942">
        <f ca="1" t="shared" si="154"/>
        <v>0.2383248</v>
      </c>
      <c r="D942">
        <f ca="1" t="shared" si="155"/>
        <v>8</v>
      </c>
      <c r="E942">
        <f ca="1" t="shared" si="156"/>
        <v>2</v>
      </c>
      <c r="F942">
        <f ca="1" t="shared" si="157"/>
        <v>0.42192228176</v>
      </c>
      <c r="G942">
        <f ca="1" t="shared" si="158"/>
        <v>0.052726978752</v>
      </c>
      <c r="H942">
        <f ca="1" t="shared" si="159"/>
        <v>0.52215772056</v>
      </c>
      <c r="I942">
        <f ca="1" t="shared" si="160"/>
        <v>1348</v>
      </c>
      <c r="J942">
        <f ca="1" t="shared" si="161"/>
        <v>161</v>
      </c>
      <c r="K942">
        <f ca="1" t="shared" si="162"/>
        <v>27448</v>
      </c>
      <c r="L942">
        <f ca="1" t="shared" si="163"/>
        <v>4135</v>
      </c>
      <c r="M942">
        <f ca="1" t="shared" si="164"/>
        <v>0.017089930944</v>
      </c>
    </row>
    <row r="943" spans="1:13">
      <c r="A943" t="str">
        <f ca="1">OFFSET($N$2,(ROW(943:943)-2)/35,0)</f>
        <v>陕西省</v>
      </c>
      <c r="B943">
        <f ca="1">OFFSET($O$1,0,MOD(ROW(943:943)-2,35))</f>
        <v>2021</v>
      </c>
      <c r="C943">
        <f ca="1" t="shared" si="154"/>
        <v>0.25740456</v>
      </c>
      <c r="D943">
        <f ca="1" t="shared" si="155"/>
        <v>9</v>
      </c>
      <c r="E943">
        <f ca="1" t="shared" si="156"/>
        <v>2</v>
      </c>
      <c r="F943">
        <f ca="1" t="shared" si="157"/>
        <v>0.479767779232</v>
      </c>
      <c r="G943">
        <f ca="1" t="shared" si="158"/>
        <v>0.0633356790108</v>
      </c>
      <c r="H943">
        <f ca="1" t="shared" si="159"/>
        <v>0.613214883288</v>
      </c>
      <c r="I943">
        <f ca="1" t="shared" si="160"/>
        <v>1461</v>
      </c>
      <c r="J943">
        <f ca="1" t="shared" si="161"/>
        <v>168</v>
      </c>
      <c r="K943">
        <f ca="1" t="shared" si="162"/>
        <v>24285</v>
      </c>
      <c r="L943">
        <f ca="1" t="shared" si="163"/>
        <v>5124</v>
      </c>
      <c r="M943">
        <f ca="1" t="shared" si="164"/>
        <v>0.0219852911904</v>
      </c>
    </row>
    <row r="944" spans="1:13">
      <c r="A944" t="str">
        <f ca="1">OFFSET($N$2,(ROW(944:944)-2)/35,0)</f>
        <v>陕西省</v>
      </c>
      <c r="B944">
        <f ca="1">OFFSET($O$1,0,MOD(ROW(944:944)-2,35))</f>
        <v>2022</v>
      </c>
      <c r="C944">
        <f ca="1" t="shared" si="154"/>
        <v>0.27952344</v>
      </c>
      <c r="D944">
        <f ca="1" t="shared" si="155"/>
        <v>10</v>
      </c>
      <c r="E944">
        <f ca="1" t="shared" si="156"/>
        <v>2</v>
      </c>
      <c r="F944">
        <f ca="1" t="shared" si="157"/>
        <v>0.543058139232</v>
      </c>
      <c r="G944">
        <f ca="1" t="shared" si="158"/>
        <v>0.0628606288044</v>
      </c>
      <c r="H944">
        <f ca="1" t="shared" si="159"/>
        <v>0.635720159592</v>
      </c>
      <c r="I944">
        <f ca="1" t="shared" si="160"/>
        <v>1327</v>
      </c>
      <c r="J944">
        <f ca="1" t="shared" si="161"/>
        <v>246</v>
      </c>
      <c r="K944">
        <f ca="1" t="shared" si="162"/>
        <v>30973</v>
      </c>
      <c r="L944">
        <f ca="1" t="shared" si="163"/>
        <v>5275</v>
      </c>
      <c r="M944">
        <f ca="1" t="shared" si="164"/>
        <v>0.0202159338192</v>
      </c>
    </row>
    <row r="945" spans="1:13">
      <c r="A945" t="str">
        <f ca="1">OFFSET($N$2,(ROW(945:945)-2)/35,0)</f>
        <v>陕西省</v>
      </c>
      <c r="B945">
        <f ca="1">OFFSET($O$1,0,MOD(ROW(945:945)-2,35))</f>
        <v>2023</v>
      </c>
      <c r="C945">
        <f ca="1" t="shared" si="154"/>
        <v>0.2593416</v>
      </c>
      <c r="D945">
        <f ca="1" t="shared" si="155"/>
        <v>10</v>
      </c>
      <c r="E945">
        <f ca="1" t="shared" si="156"/>
        <v>2</v>
      </c>
      <c r="F945">
        <f ca="1" t="shared" si="157"/>
        <v>0.46042643192</v>
      </c>
      <c r="G945">
        <f ca="1" t="shared" si="158"/>
        <v>0.056952712068</v>
      </c>
      <c r="H945">
        <f ca="1" t="shared" si="159"/>
        <v>0.57415636824</v>
      </c>
      <c r="I945">
        <f ca="1" t="shared" si="160"/>
        <v>1094</v>
      </c>
      <c r="J945">
        <f ca="1" t="shared" si="161"/>
        <v>254</v>
      </c>
      <c r="K945">
        <f ca="1" t="shared" si="162"/>
        <v>23856</v>
      </c>
      <c r="L945">
        <f ca="1" t="shared" si="163"/>
        <v>5080</v>
      </c>
      <c r="M945">
        <f ca="1" t="shared" si="164"/>
        <v>0.02053614984</v>
      </c>
    </row>
    <row r="946" spans="1:13">
      <c r="A946" t="str">
        <f ca="1">OFFSET($N$2,(ROW(946:946)-2)/35,0)</f>
        <v>陕西省</v>
      </c>
      <c r="B946">
        <f ca="1">OFFSET($O$1,0,MOD(ROW(946:946)-2,35))</f>
        <v>2024</v>
      </c>
      <c r="C946">
        <f ca="1" t="shared" si="154"/>
        <v>0.28640304</v>
      </c>
      <c r="D946">
        <f ca="1" t="shared" si="155"/>
        <v>10</v>
      </c>
      <c r="E946">
        <f ca="1" t="shared" si="156"/>
        <v>2</v>
      </c>
      <c r="F946">
        <f ca="1" t="shared" si="157"/>
        <v>0.489529622736</v>
      </c>
      <c r="G946">
        <f ca="1" t="shared" si="158"/>
        <v>0.0588744409176</v>
      </c>
      <c r="H946">
        <f ca="1" t="shared" si="159"/>
        <v>0.666044589672</v>
      </c>
      <c r="I946">
        <f ca="1" t="shared" si="160"/>
        <v>1301</v>
      </c>
      <c r="J946">
        <f ca="1" t="shared" si="161"/>
        <v>212</v>
      </c>
      <c r="K946">
        <f ca="1" t="shared" si="162"/>
        <v>29055</v>
      </c>
      <c r="L946">
        <f ca="1" t="shared" si="163"/>
        <v>3101</v>
      </c>
      <c r="M946">
        <f ca="1" t="shared" si="164"/>
        <v>0.0204577691472</v>
      </c>
    </row>
    <row r="947" spans="1:13">
      <c r="A947" t="str">
        <f ca="1">OFFSET($N$2,(ROW(947:947)-2)/35,0)</f>
        <v>甘肃省</v>
      </c>
      <c r="B947">
        <f ca="1">OFFSET($O$1,0,MOD(ROW(947:947)-2,35))</f>
        <v>1990</v>
      </c>
      <c r="C947">
        <f ca="1" t="shared" si="154"/>
        <v>0.0645708</v>
      </c>
      <c r="D947">
        <f ca="1" t="shared" si="155"/>
        <v>2</v>
      </c>
      <c r="E947">
        <f ca="1" t="shared" si="156"/>
        <v>0</v>
      </c>
      <c r="F947">
        <f ca="1" t="shared" si="157"/>
        <v>0.11264160824</v>
      </c>
      <c r="G947">
        <f ca="1" t="shared" si="158"/>
        <v>0.015711044202</v>
      </c>
      <c r="H947">
        <f ca="1" t="shared" si="159"/>
        <v>0.14167802082</v>
      </c>
      <c r="I947">
        <f ca="1" t="shared" si="160"/>
        <v>285</v>
      </c>
      <c r="J947">
        <f ca="1" t="shared" si="161"/>
        <v>7</v>
      </c>
      <c r="K947">
        <f ca="1" t="shared" si="162"/>
        <v>4882</v>
      </c>
      <c r="L947">
        <f ca="1" t="shared" si="163"/>
        <v>660</v>
      </c>
      <c r="M947">
        <f ca="1" t="shared" si="164"/>
        <v>0.005374319928</v>
      </c>
    </row>
    <row r="948" spans="1:13">
      <c r="A948" t="str">
        <f ca="1">OFFSET($N$2,(ROW(948:948)-2)/35,0)</f>
        <v>甘肃省</v>
      </c>
      <c r="B948">
        <f ca="1">OFFSET($O$1,0,MOD(ROW(948:948)-2,35))</f>
        <v>1991</v>
      </c>
      <c r="C948">
        <f ca="1" t="shared" si="154"/>
        <v>0.07349496</v>
      </c>
      <c r="D948">
        <f ca="1" t="shared" si="155"/>
        <v>2</v>
      </c>
      <c r="E948">
        <f ca="1" t="shared" si="156"/>
        <v>0</v>
      </c>
      <c r="F948">
        <f ca="1" t="shared" si="157"/>
        <v>0.134885300088</v>
      </c>
      <c r="G948">
        <f ca="1" t="shared" si="158"/>
        <v>0.0167667726996</v>
      </c>
      <c r="H948">
        <f ca="1" t="shared" si="159"/>
        <v>0.182888533212</v>
      </c>
      <c r="I948">
        <f ca="1" t="shared" si="160"/>
        <v>359</v>
      </c>
      <c r="J948">
        <f ca="1" t="shared" si="161"/>
        <v>11</v>
      </c>
      <c r="K948">
        <f ca="1" t="shared" si="162"/>
        <v>4632</v>
      </c>
      <c r="L948">
        <f ca="1" t="shared" si="163"/>
        <v>1427</v>
      </c>
      <c r="M948">
        <f ca="1" t="shared" si="164"/>
        <v>0.0060411807192</v>
      </c>
    </row>
    <row r="949" spans="1:13">
      <c r="A949" t="str">
        <f ca="1">OFFSET($N$2,(ROW(949:949)-2)/35,0)</f>
        <v>甘肃省</v>
      </c>
      <c r="B949">
        <f ca="1">OFFSET($O$1,0,MOD(ROW(949:949)-2,35))</f>
        <v>1992</v>
      </c>
      <c r="C949">
        <f ca="1" t="shared" si="154"/>
        <v>0.07780752</v>
      </c>
      <c r="D949">
        <f ca="1" t="shared" si="155"/>
        <v>3</v>
      </c>
      <c r="E949">
        <f ca="1" t="shared" si="156"/>
        <v>0</v>
      </c>
      <c r="F949">
        <f ca="1" t="shared" si="157"/>
        <v>0.133235003664</v>
      </c>
      <c r="G949">
        <f ca="1" t="shared" si="158"/>
        <v>0.0183400105392</v>
      </c>
      <c r="H949">
        <f ca="1" t="shared" si="159"/>
        <v>0.174043751112</v>
      </c>
      <c r="I949">
        <f ca="1" t="shared" si="160"/>
        <v>427</v>
      </c>
      <c r="J949">
        <f ca="1" t="shared" si="161"/>
        <v>11</v>
      </c>
      <c r="K949">
        <f ca="1" t="shared" si="162"/>
        <v>7712</v>
      </c>
      <c r="L949">
        <f ca="1" t="shared" si="163"/>
        <v>1433</v>
      </c>
      <c r="M949">
        <f ca="1" t="shared" si="164"/>
        <v>0.0058832488944</v>
      </c>
    </row>
    <row r="950" spans="1:13">
      <c r="A950" t="str">
        <f ca="1">OFFSET($N$2,(ROW(950:950)-2)/35,0)</f>
        <v>甘肃省</v>
      </c>
      <c r="B950">
        <f ca="1">OFFSET($O$1,0,MOD(ROW(950:950)-2,35))</f>
        <v>1993</v>
      </c>
      <c r="C950">
        <f ca="1" t="shared" si="154"/>
        <v>0.0852306</v>
      </c>
      <c r="D950">
        <f ca="1" t="shared" si="155"/>
        <v>3</v>
      </c>
      <c r="E950">
        <f ca="1" t="shared" si="156"/>
        <v>0</v>
      </c>
      <c r="F950">
        <f ca="1" t="shared" si="157"/>
        <v>0.148017142</v>
      </c>
      <c r="G950">
        <f ca="1" t="shared" si="158"/>
        <v>0.018268326804</v>
      </c>
      <c r="H950">
        <f ca="1" t="shared" si="159"/>
        <v>0.17955956655</v>
      </c>
      <c r="I950">
        <f ca="1" t="shared" si="160"/>
        <v>503</v>
      </c>
      <c r="J950">
        <f ca="1" t="shared" si="161"/>
        <v>9</v>
      </c>
      <c r="K950">
        <f ca="1" t="shared" si="162"/>
        <v>9939</v>
      </c>
      <c r="L950">
        <f ca="1" t="shared" si="163"/>
        <v>1418</v>
      </c>
      <c r="M950">
        <f ca="1" t="shared" si="164"/>
        <v>0.007288799154</v>
      </c>
    </row>
    <row r="951" spans="1:13">
      <c r="A951" t="str">
        <f ca="1">OFFSET($N$2,(ROW(951:951)-2)/35,0)</f>
        <v>甘肃省</v>
      </c>
      <c r="B951">
        <f ca="1">OFFSET($O$1,0,MOD(ROW(951:951)-2,35))</f>
        <v>1994</v>
      </c>
      <c r="C951">
        <f ca="1" t="shared" si="154"/>
        <v>0.08275512</v>
      </c>
      <c r="D951">
        <f ca="1" t="shared" si="155"/>
        <v>3</v>
      </c>
      <c r="E951">
        <f ca="1" t="shared" si="156"/>
        <v>0</v>
      </c>
      <c r="F951">
        <f ca="1" t="shared" si="157"/>
        <v>0.137972094568</v>
      </c>
      <c r="G951">
        <f ca="1" t="shared" si="158"/>
        <v>0.02016121611</v>
      </c>
      <c r="H951">
        <f ca="1" t="shared" si="159"/>
        <v>0.203594146224</v>
      </c>
      <c r="I951">
        <f ca="1" t="shared" si="160"/>
        <v>456</v>
      </c>
      <c r="J951">
        <f ca="1" t="shared" si="161"/>
        <v>15</v>
      </c>
      <c r="K951">
        <f ca="1" t="shared" si="162"/>
        <v>7637</v>
      </c>
      <c r="L951">
        <f ca="1" t="shared" si="163"/>
        <v>1426</v>
      </c>
      <c r="M951">
        <f ca="1" t="shared" si="164"/>
        <v>0.0065054982048</v>
      </c>
    </row>
    <row r="952" spans="1:13">
      <c r="A952" t="str">
        <f ca="1">OFFSET($N$2,(ROW(952:952)-2)/35,0)</f>
        <v>甘肃省</v>
      </c>
      <c r="B952">
        <f ca="1">OFFSET($O$1,0,MOD(ROW(952:952)-2,35))</f>
        <v>1995</v>
      </c>
      <c r="C952">
        <f ca="1" t="shared" si="154"/>
        <v>0.0960876</v>
      </c>
      <c r="D952">
        <f ca="1" t="shared" si="155"/>
        <v>3</v>
      </c>
      <c r="E952">
        <f ca="1" t="shared" si="156"/>
        <v>0</v>
      </c>
      <c r="F952">
        <f ca="1" t="shared" si="157"/>
        <v>0.18757580688</v>
      </c>
      <c r="G952">
        <f ca="1" t="shared" si="158"/>
        <v>0.02254695534</v>
      </c>
      <c r="H952">
        <f ca="1" t="shared" si="159"/>
        <v>0.2265505389</v>
      </c>
      <c r="I952">
        <f ca="1" t="shared" si="160"/>
        <v>437</v>
      </c>
      <c r="J952">
        <f ca="1" t="shared" si="161"/>
        <v>14</v>
      </c>
      <c r="K952">
        <f ca="1" t="shared" si="162"/>
        <v>8435</v>
      </c>
      <c r="L952">
        <f ca="1" t="shared" si="163"/>
        <v>1692</v>
      </c>
      <c r="M952">
        <f ca="1" t="shared" si="164"/>
        <v>0.008099635608</v>
      </c>
    </row>
    <row r="953" spans="1:13">
      <c r="A953" t="str">
        <f ca="1">OFFSET($N$2,(ROW(953:953)-2)/35,0)</f>
        <v>甘肃省</v>
      </c>
      <c r="B953">
        <f ca="1">OFFSET($O$1,0,MOD(ROW(953:953)-2,35))</f>
        <v>1996</v>
      </c>
      <c r="C953">
        <f ca="1" t="shared" si="154"/>
        <v>0.10343424</v>
      </c>
      <c r="D953">
        <f ca="1" t="shared" si="155"/>
        <v>3</v>
      </c>
      <c r="E953">
        <f ca="1" t="shared" si="156"/>
        <v>1</v>
      </c>
      <c r="F953">
        <f ca="1" t="shared" si="157"/>
        <v>0.181796020224</v>
      </c>
      <c r="G953">
        <f ca="1" t="shared" si="158"/>
        <v>0.0242848080384</v>
      </c>
      <c r="H953">
        <f ca="1" t="shared" si="159"/>
        <v>0.239957093376</v>
      </c>
      <c r="I953">
        <f ca="1" t="shared" si="160"/>
        <v>466</v>
      </c>
      <c r="J953">
        <f ca="1" t="shared" si="161"/>
        <v>20</v>
      </c>
      <c r="K953">
        <f ca="1" t="shared" si="162"/>
        <v>7126</v>
      </c>
      <c r="L953">
        <f ca="1" t="shared" si="163"/>
        <v>1844</v>
      </c>
      <c r="M953">
        <f ca="1" t="shared" si="164"/>
        <v>0.0078446005248</v>
      </c>
    </row>
    <row r="954" spans="1:13">
      <c r="A954" t="str">
        <f ca="1">OFFSET($N$2,(ROW(954:954)-2)/35,0)</f>
        <v>甘肃省</v>
      </c>
      <c r="B954">
        <f ca="1">OFFSET($O$1,0,MOD(ROW(954:954)-2,35))</f>
        <v>1997</v>
      </c>
      <c r="C954">
        <f ca="1" t="shared" si="154"/>
        <v>0.10435824</v>
      </c>
      <c r="D954">
        <f ca="1" t="shared" si="155"/>
        <v>3</v>
      </c>
      <c r="E954">
        <f ca="1" t="shared" si="156"/>
        <v>1</v>
      </c>
      <c r="F954">
        <f ca="1" t="shared" si="157"/>
        <v>0.203015041488</v>
      </c>
      <c r="G954">
        <f ca="1" t="shared" si="158"/>
        <v>0.0208815620328</v>
      </c>
      <c r="H954">
        <f ca="1" t="shared" si="159"/>
        <v>0.253794021768</v>
      </c>
      <c r="I954">
        <f ca="1" t="shared" si="160"/>
        <v>519</v>
      </c>
      <c r="J954">
        <f ca="1" t="shared" si="161"/>
        <v>20</v>
      </c>
      <c r="K954">
        <f ca="1" t="shared" si="162"/>
        <v>7290</v>
      </c>
      <c r="L954">
        <f ca="1" t="shared" si="163"/>
        <v>1843</v>
      </c>
      <c r="M954">
        <f ca="1" t="shared" si="164"/>
        <v>0.0079151252544</v>
      </c>
    </row>
    <row r="955" spans="1:13">
      <c r="A955" t="str">
        <f ca="1">OFFSET($N$2,(ROW(955:955)-2)/35,0)</f>
        <v>甘肃省</v>
      </c>
      <c r="B955">
        <f ca="1">OFFSET($O$1,0,MOD(ROW(955:955)-2,35))</f>
        <v>1998</v>
      </c>
      <c r="C955">
        <f ca="1" t="shared" si="154"/>
        <v>0.12000744</v>
      </c>
      <c r="D955">
        <f ca="1" t="shared" si="155"/>
        <v>3</v>
      </c>
      <c r="E955">
        <f ca="1" t="shared" si="156"/>
        <v>1</v>
      </c>
      <c r="F955">
        <f ca="1" t="shared" si="157"/>
        <v>0.206084776464</v>
      </c>
      <c r="G955">
        <f ca="1" t="shared" si="158"/>
        <v>0.0285653709432</v>
      </c>
      <c r="H955">
        <f ca="1" t="shared" si="159"/>
        <v>0.28540769418</v>
      </c>
      <c r="I955">
        <f ca="1" t="shared" si="160"/>
        <v>572</v>
      </c>
      <c r="J955">
        <f ca="1" t="shared" si="161"/>
        <v>19</v>
      </c>
      <c r="K955">
        <f ca="1" t="shared" si="162"/>
        <v>7309</v>
      </c>
      <c r="L955">
        <f ca="1" t="shared" si="163"/>
        <v>1227</v>
      </c>
      <c r="M955">
        <f ca="1" t="shared" si="164"/>
        <v>0.0099333586872</v>
      </c>
    </row>
    <row r="956" spans="1:13">
      <c r="A956" t="str">
        <f ca="1">OFFSET($N$2,(ROW(956:956)-2)/35,0)</f>
        <v>甘肃省</v>
      </c>
      <c r="B956">
        <f ca="1">OFFSET($O$1,0,MOD(ROW(956:956)-2,35))</f>
        <v>1999</v>
      </c>
      <c r="C956">
        <f ca="1" t="shared" si="154"/>
        <v>0.12555732</v>
      </c>
      <c r="D956">
        <f ca="1" t="shared" si="155"/>
        <v>3</v>
      </c>
      <c r="E956">
        <f ca="1" t="shared" si="156"/>
        <v>2</v>
      </c>
      <c r="F956">
        <f ca="1" t="shared" si="157"/>
        <v>0.210948853332</v>
      </c>
      <c r="G956">
        <f ca="1" t="shared" si="158"/>
        <v>0.0291223925874</v>
      </c>
      <c r="H956">
        <f ca="1" t="shared" si="159"/>
        <v>0.258120738456</v>
      </c>
      <c r="I956">
        <f ca="1" t="shared" si="160"/>
        <v>689</v>
      </c>
      <c r="J956">
        <f ca="1" t="shared" si="161"/>
        <v>14</v>
      </c>
      <c r="K956">
        <f ca="1" t="shared" si="162"/>
        <v>13555</v>
      </c>
      <c r="L956">
        <f ca="1" t="shared" si="163"/>
        <v>2458</v>
      </c>
      <c r="M956">
        <f ca="1" t="shared" si="164"/>
        <v>0.0094569773424</v>
      </c>
    </row>
    <row r="957" spans="1:13">
      <c r="A957" t="str">
        <f ca="1">OFFSET($N$2,(ROW(957:957)-2)/35,0)</f>
        <v>甘肃省</v>
      </c>
      <c r="B957">
        <f ca="1">OFFSET($O$1,0,MOD(ROW(957:957)-2,35))</f>
        <v>2000</v>
      </c>
      <c r="C957">
        <f ca="1" t="shared" si="154"/>
        <v>0.119868</v>
      </c>
      <c r="D957">
        <f ca="1" t="shared" si="155"/>
        <v>4</v>
      </c>
      <c r="E957">
        <f ca="1" t="shared" si="156"/>
        <v>3</v>
      </c>
      <c r="F957">
        <f ca="1" t="shared" si="157"/>
        <v>0.2216798836</v>
      </c>
      <c r="G957">
        <f ca="1" t="shared" si="158"/>
        <v>0.02957982636</v>
      </c>
      <c r="H957">
        <f ca="1" t="shared" si="159"/>
        <v>0.2882166126</v>
      </c>
      <c r="I957">
        <f ca="1" t="shared" si="160"/>
        <v>688</v>
      </c>
      <c r="J957">
        <f ca="1" t="shared" si="161"/>
        <v>14</v>
      </c>
      <c r="K957">
        <f ca="1" t="shared" si="162"/>
        <v>10947</v>
      </c>
      <c r="L957">
        <f ca="1" t="shared" si="163"/>
        <v>1743</v>
      </c>
      <c r="M957">
        <f ca="1" t="shared" si="164"/>
        <v>0.00861011844</v>
      </c>
    </row>
    <row r="958" spans="1:13">
      <c r="A958" t="str">
        <f ca="1">OFFSET($N$2,(ROW(958:958)-2)/35,0)</f>
        <v>甘肃省</v>
      </c>
      <c r="B958">
        <f ca="1">OFFSET($O$1,0,MOD(ROW(958:958)-2,35))</f>
        <v>2001</v>
      </c>
      <c r="C958">
        <f ca="1" t="shared" si="154"/>
        <v>0.12810168</v>
      </c>
      <c r="D958">
        <f ca="1" t="shared" si="155"/>
        <v>4</v>
      </c>
      <c r="E958">
        <f ca="1" t="shared" si="156"/>
        <v>3</v>
      </c>
      <c r="F958">
        <f ca="1" t="shared" si="157"/>
        <v>0.244614428016</v>
      </c>
      <c r="G958">
        <f ca="1" t="shared" si="158"/>
        <v>0.031250404836</v>
      </c>
      <c r="H958">
        <f ca="1" t="shared" si="159"/>
        <v>0.265035970836</v>
      </c>
      <c r="I958">
        <f ca="1" t="shared" si="160"/>
        <v>763</v>
      </c>
      <c r="J958">
        <f ca="1" t="shared" si="161"/>
        <v>25</v>
      </c>
      <c r="K958">
        <f ca="1" t="shared" si="162"/>
        <v>9312</v>
      </c>
      <c r="L958">
        <f ca="1" t="shared" si="163"/>
        <v>1688</v>
      </c>
      <c r="M958">
        <f ca="1" t="shared" si="164"/>
        <v>0.0109539746568</v>
      </c>
    </row>
    <row r="959" spans="1:13">
      <c r="A959" t="str">
        <f ca="1">OFFSET($N$2,(ROW(959:959)-2)/35,0)</f>
        <v>甘肃省</v>
      </c>
      <c r="B959">
        <f ca="1">OFFSET($O$1,0,MOD(ROW(959:959)-2,35))</f>
        <v>2002</v>
      </c>
      <c r="C959">
        <f ca="1" t="shared" si="154"/>
        <v>0.1361976</v>
      </c>
      <c r="D959">
        <f ca="1" t="shared" si="155"/>
        <v>5</v>
      </c>
      <c r="E959">
        <f ca="1" t="shared" si="156"/>
        <v>3</v>
      </c>
      <c r="F959">
        <f ca="1" t="shared" si="157"/>
        <v>0.26064134712</v>
      </c>
      <c r="G959">
        <f ca="1" t="shared" si="158"/>
        <v>0.033949294764</v>
      </c>
      <c r="H959">
        <f ca="1" t="shared" si="159"/>
        <v>0.32414347812</v>
      </c>
      <c r="I959">
        <f ca="1" t="shared" si="160"/>
        <v>605</v>
      </c>
      <c r="J959">
        <f ca="1" t="shared" si="161"/>
        <v>22</v>
      </c>
      <c r="K959">
        <f ca="1" t="shared" si="162"/>
        <v>12344</v>
      </c>
      <c r="L959">
        <f ca="1" t="shared" si="163"/>
        <v>1941</v>
      </c>
      <c r="M959">
        <f ca="1" t="shared" si="164"/>
        <v>0.009740463216</v>
      </c>
    </row>
    <row r="960" spans="1:13">
      <c r="A960" t="str">
        <f ca="1">OFFSET($N$2,(ROW(960:960)-2)/35,0)</f>
        <v>甘肃省</v>
      </c>
      <c r="B960">
        <f ca="1">OFFSET($O$1,0,MOD(ROW(960:960)-2,35))</f>
        <v>2003</v>
      </c>
      <c r="C960">
        <f ca="1" t="shared" si="154"/>
        <v>0.14710248</v>
      </c>
      <c r="D960">
        <f ca="1" t="shared" si="155"/>
        <v>5</v>
      </c>
      <c r="E960">
        <f ca="1" t="shared" si="156"/>
        <v>4</v>
      </c>
      <c r="F960">
        <f ca="1" t="shared" si="157"/>
        <v>0.291699314424</v>
      </c>
      <c r="G960">
        <f ca="1" t="shared" si="158"/>
        <v>0.0348353382888</v>
      </c>
      <c r="H960">
        <f ca="1" t="shared" si="159"/>
        <v>0.348198925284</v>
      </c>
      <c r="I960">
        <f ca="1" t="shared" si="160"/>
        <v>795</v>
      </c>
      <c r="J960">
        <f ca="1" t="shared" si="161"/>
        <v>29</v>
      </c>
      <c r="K960">
        <f ca="1" t="shared" si="162"/>
        <v>15493</v>
      </c>
      <c r="L960">
        <f ca="1" t="shared" si="163"/>
        <v>2438</v>
      </c>
      <c r="M960">
        <f ca="1" t="shared" si="164"/>
        <v>0.010967540616</v>
      </c>
    </row>
    <row r="961" spans="1:13">
      <c r="A961" t="str">
        <f ca="1">OFFSET($N$2,(ROW(961:961)-2)/35,0)</f>
        <v>甘肃省</v>
      </c>
      <c r="B961">
        <f ca="1">OFFSET($O$1,0,MOD(ROW(961:961)-2,35))</f>
        <v>2004</v>
      </c>
      <c r="C961">
        <f ca="1" t="shared" si="154"/>
        <v>0.16049376</v>
      </c>
      <c r="D961">
        <f ca="1" t="shared" si="155"/>
        <v>5</v>
      </c>
      <c r="E961">
        <f ca="1" t="shared" si="156"/>
        <v>4</v>
      </c>
      <c r="F961">
        <f ca="1" t="shared" si="157"/>
        <v>0.273181778688</v>
      </c>
      <c r="G961">
        <f ca="1" t="shared" si="158"/>
        <v>0.036315725544</v>
      </c>
      <c r="H961">
        <f ca="1" t="shared" si="159"/>
        <v>0.325978875936</v>
      </c>
      <c r="I961">
        <f ca="1" t="shared" si="160"/>
        <v>662</v>
      </c>
      <c r="J961">
        <f ca="1" t="shared" si="161"/>
        <v>25</v>
      </c>
      <c r="K961">
        <f ca="1" t="shared" si="162"/>
        <v>16457</v>
      </c>
      <c r="L961">
        <f ca="1" t="shared" si="163"/>
        <v>3020</v>
      </c>
      <c r="M961">
        <f ca="1" t="shared" si="164"/>
        <v>0.0120478080096</v>
      </c>
    </row>
    <row r="962" spans="1:13">
      <c r="A962" t="str">
        <f ca="1">OFFSET($N$2,(ROW(962:962)-2)/35,0)</f>
        <v>甘肃省</v>
      </c>
      <c r="B962">
        <f ca="1">OFFSET($O$1,0,MOD(ROW(962:962)-2,35))</f>
        <v>2005</v>
      </c>
      <c r="C962">
        <f ca="1" t="shared" si="154"/>
        <v>0.158424</v>
      </c>
      <c r="D962">
        <f ca="1" t="shared" si="155"/>
        <v>5</v>
      </c>
      <c r="E962">
        <f ca="1" t="shared" si="156"/>
        <v>4</v>
      </c>
      <c r="F962">
        <f ca="1" t="shared" si="157"/>
        <v>0.2838905272</v>
      </c>
      <c r="G962">
        <f ca="1" t="shared" si="158"/>
        <v>0.0358671936</v>
      </c>
      <c r="H962">
        <f ca="1" t="shared" si="159"/>
        <v>0.3651752412</v>
      </c>
      <c r="I962">
        <f ca="1" t="shared" si="160"/>
        <v>658</v>
      </c>
      <c r="J962">
        <f ca="1" t="shared" si="161"/>
        <v>18</v>
      </c>
      <c r="K962">
        <f ca="1" t="shared" si="162"/>
        <v>12195</v>
      </c>
      <c r="L962">
        <f ca="1" t="shared" si="163"/>
        <v>2126</v>
      </c>
      <c r="M962">
        <f ca="1" t="shared" si="164"/>
        <v>0.01248290592</v>
      </c>
    </row>
    <row r="963" spans="1:13">
      <c r="A963" t="str">
        <f ca="1">OFFSET($N$2,(ROW(963:963)-2)/35,0)</f>
        <v>甘肃省</v>
      </c>
      <c r="B963">
        <f ca="1">OFFSET($O$1,0,MOD(ROW(963:963)-2,35))</f>
        <v>2006</v>
      </c>
      <c r="C963">
        <f ca="1" t="shared" ref="C963:C1026" si="165">IF(OR(A963="北京市",A963="上海市",A963="广东省"),(B963-1980)*RANDBETWEEN(15000,16000)/500000,IF(OR(A963="西藏自治区",A963="新疆维吾尔自治区",A963="青海省",A963="广西壮族自治区",A963="内蒙古自治区",A963="宁夏回族自治区",A963="贵州省",A963="甘肃省",A963="陕西省",A963="云南省"),(B963-1980)*RANDBETWEEN(7000,8000)/500000,IF(OR(A963="浙江省",A963="江苏省",A963="山东省",A963="辽宁省"),(B963-1980)*RANDBETWEEN(13000,14000)/500000,(B963-1980)*RANDBETWEEN(10000,11000)/500000)))*0.42</f>
        <v>0.15421224</v>
      </c>
      <c r="D963">
        <f ca="1" t="shared" ref="D963:D1026" si="166">IF($B963=1990,ROUND($C963*RANDBETWEEN(10000,20000)/500,0),ROUND(D962+RANDBETWEEN(0,5)/10,0))</f>
        <v>6</v>
      </c>
      <c r="E963">
        <f ca="1" t="shared" ref="E963:E1026" si="167">IF($B963=1990,ROUND($C963*RANDBETWEEN(10000,20000)/5000,0),ROUND(E962+RANDBETWEEN(0,20)/40,0))</f>
        <v>4</v>
      </c>
      <c r="F963">
        <f ca="1" t="shared" ref="F963:F1026" si="168">$C963*RANDBETWEEN(50000,60000)/30000</f>
        <v>0.264617923024</v>
      </c>
      <c r="G963">
        <f ca="1" t="shared" ref="G963:G1026" si="169">$C963*RANDBETWEEN(40000,50000)/200000</f>
        <v>0.0322357555884</v>
      </c>
      <c r="H963">
        <f ca="1" t="shared" ref="H963:H1026" si="170">$C963*RANDBETWEEN(40000,50000)/20000</f>
        <v>0.354873206688</v>
      </c>
      <c r="I963">
        <f ca="1" t="shared" ref="I963:I1026" si="171">ROUND($C963*RANDBETWEEN(20000,30000)/5,0)</f>
        <v>923</v>
      </c>
      <c r="J963">
        <f ca="1" t="shared" ref="J963:J1026" si="172">IF(B963&lt;2015,ROUND($C963*RANDBETWEEN(10000,20000)/100,0),IF(B963&lt;2018,ROUND($C963*RANDBETWEEN(10000,20000)/70,0),ROUND($C963*RANDBETWEEN(10000,20000)/20,0)))</f>
        <v>20</v>
      </c>
      <c r="K963">
        <f ca="1" t="shared" ref="K963:K1026" si="173">ROUND($C963*RANDBETWEEN(10000,20000)*6,0)</f>
        <v>12808</v>
      </c>
      <c r="L963">
        <f ca="1" t="shared" ref="L963:L1026" si="174">ROUND($C963*RANDBETWEEN(10000,20000)*1,0)</f>
        <v>2606</v>
      </c>
      <c r="M963">
        <f ca="1" t="shared" ref="M963:M1026" si="175">$C963*RANDBETWEEN(50000,60000)/700000</f>
        <v>0.0115661383032</v>
      </c>
    </row>
    <row r="964" spans="1:13">
      <c r="A964" t="str">
        <f ca="1">OFFSET($N$2,(ROW(964:964)-2)/35,0)</f>
        <v>甘肃省</v>
      </c>
      <c r="B964">
        <f ca="1">OFFSET($O$1,0,MOD(ROW(964:964)-2,35))</f>
        <v>2007</v>
      </c>
      <c r="C964">
        <f ca="1" t="shared" si="165"/>
        <v>0.17692668</v>
      </c>
      <c r="D964">
        <f ca="1" t="shared" si="166"/>
        <v>7</v>
      </c>
      <c r="E964">
        <f ca="1" t="shared" si="167"/>
        <v>4</v>
      </c>
      <c r="F964">
        <f ca="1" t="shared" si="168"/>
        <v>0.351942551856</v>
      </c>
      <c r="G964">
        <f ca="1" t="shared" si="169"/>
        <v>0.0398191186008</v>
      </c>
      <c r="H964">
        <f ca="1" t="shared" si="170"/>
        <v>0.416007702684</v>
      </c>
      <c r="I964">
        <f ca="1" t="shared" si="171"/>
        <v>727</v>
      </c>
      <c r="J964">
        <f ca="1" t="shared" si="172"/>
        <v>35</v>
      </c>
      <c r="K964">
        <f ca="1" t="shared" si="173"/>
        <v>16806</v>
      </c>
      <c r="L964">
        <f ca="1" t="shared" si="174"/>
        <v>1973</v>
      </c>
      <c r="M964">
        <f ca="1" t="shared" si="175"/>
        <v>0.01319999409</v>
      </c>
    </row>
    <row r="965" spans="1:13">
      <c r="A965" t="str">
        <f ca="1">OFFSET($N$2,(ROW(965:965)-2)/35,0)</f>
        <v>甘肃省</v>
      </c>
      <c r="B965">
        <f ca="1">OFFSET($O$1,0,MOD(ROW(965:965)-2,35))</f>
        <v>2008</v>
      </c>
      <c r="C965">
        <f ca="1" t="shared" si="165"/>
        <v>0.18554928</v>
      </c>
      <c r="D965">
        <f ca="1" t="shared" si="166"/>
        <v>7</v>
      </c>
      <c r="E965">
        <f ca="1" t="shared" si="167"/>
        <v>4</v>
      </c>
      <c r="F965">
        <f ca="1" t="shared" si="168"/>
        <v>0.344453683392</v>
      </c>
      <c r="G965">
        <f ca="1" t="shared" si="169"/>
        <v>0.0448361280192</v>
      </c>
      <c r="H965">
        <f ca="1" t="shared" si="170"/>
        <v>0.4028738742</v>
      </c>
      <c r="I965">
        <f ca="1" t="shared" si="171"/>
        <v>800</v>
      </c>
      <c r="J965">
        <f ca="1" t="shared" si="172"/>
        <v>20</v>
      </c>
      <c r="K965">
        <f ca="1" t="shared" si="173"/>
        <v>16781</v>
      </c>
      <c r="L965">
        <f ca="1" t="shared" si="174"/>
        <v>3031</v>
      </c>
      <c r="M965">
        <f ca="1" t="shared" si="175"/>
        <v>0.01513551984</v>
      </c>
    </row>
    <row r="966" spans="1:13">
      <c r="A966" t="str">
        <f ca="1">OFFSET($N$2,(ROW(966:966)-2)/35,0)</f>
        <v>甘肃省</v>
      </c>
      <c r="B966">
        <f ca="1">OFFSET($O$1,0,MOD(ROW(966:966)-2,35))</f>
        <v>2009</v>
      </c>
      <c r="C966">
        <f ca="1" t="shared" si="165"/>
        <v>0.18481932</v>
      </c>
      <c r="D966">
        <f ca="1" t="shared" si="166"/>
        <v>8</v>
      </c>
      <c r="E966">
        <f ca="1" t="shared" si="167"/>
        <v>5</v>
      </c>
      <c r="F966">
        <f ca="1" t="shared" si="168"/>
        <v>0.331153096932</v>
      </c>
      <c r="G966">
        <f ca="1" t="shared" si="169"/>
        <v>0.0384858511002</v>
      </c>
      <c r="H966">
        <f ca="1" t="shared" si="170"/>
        <v>0.458592178716</v>
      </c>
      <c r="I966">
        <f ca="1" t="shared" si="171"/>
        <v>1002</v>
      </c>
      <c r="J966">
        <f ca="1" t="shared" si="172"/>
        <v>31</v>
      </c>
      <c r="K966">
        <f ca="1" t="shared" si="173"/>
        <v>17584</v>
      </c>
      <c r="L966">
        <f ca="1" t="shared" si="174"/>
        <v>2062</v>
      </c>
      <c r="M966">
        <f ca="1" t="shared" si="175"/>
        <v>0.0157186191384</v>
      </c>
    </row>
    <row r="967" spans="1:13">
      <c r="A967" t="str">
        <f ca="1">OFFSET($N$2,(ROW(967:967)-2)/35,0)</f>
        <v>甘肃省</v>
      </c>
      <c r="B967">
        <f ca="1">OFFSET($O$1,0,MOD(ROW(967:967)-2,35))</f>
        <v>2010</v>
      </c>
      <c r="C967">
        <f ca="1" t="shared" si="165"/>
        <v>0.200718</v>
      </c>
      <c r="D967">
        <f ca="1" t="shared" si="166"/>
        <v>8</v>
      </c>
      <c r="E967">
        <f ca="1" t="shared" si="167"/>
        <v>5</v>
      </c>
      <c r="F967">
        <f ca="1" t="shared" si="168"/>
        <v>0.39206916</v>
      </c>
      <c r="G967">
        <f ca="1" t="shared" si="169"/>
        <v>0.04638291903</v>
      </c>
      <c r="H967">
        <f ca="1" t="shared" si="170"/>
        <v>0.4029614568</v>
      </c>
      <c r="I967">
        <f ca="1" t="shared" si="171"/>
        <v>995</v>
      </c>
      <c r="J967">
        <f ca="1" t="shared" si="172"/>
        <v>25</v>
      </c>
      <c r="K967">
        <f ca="1" t="shared" si="173"/>
        <v>20503</v>
      </c>
      <c r="L967">
        <f ca="1" t="shared" si="174"/>
        <v>2837</v>
      </c>
      <c r="M967">
        <f ca="1" t="shared" si="175"/>
        <v>0.01699450632</v>
      </c>
    </row>
    <row r="968" spans="1:13">
      <c r="A968" t="str">
        <f ca="1">OFFSET($N$2,(ROW(968:968)-2)/35,0)</f>
        <v>甘肃省</v>
      </c>
      <c r="B968">
        <f ca="1">OFFSET($O$1,0,MOD(ROW(968:968)-2,35))</f>
        <v>2011</v>
      </c>
      <c r="C968">
        <f ca="1" t="shared" si="165"/>
        <v>0.18850356</v>
      </c>
      <c r="D968">
        <f ca="1" t="shared" si="166"/>
        <v>8</v>
      </c>
      <c r="E968">
        <f ca="1" t="shared" si="167"/>
        <v>5</v>
      </c>
      <c r="F968">
        <f ca="1" t="shared" si="168"/>
        <v>0.376454176224</v>
      </c>
      <c r="G968">
        <f ca="1" t="shared" si="169"/>
        <v>0.0456310567692</v>
      </c>
      <c r="H968">
        <f ca="1" t="shared" si="170"/>
        <v>0.382313495214</v>
      </c>
      <c r="I968">
        <f ca="1" t="shared" si="171"/>
        <v>1039</v>
      </c>
      <c r="J968">
        <f ca="1" t="shared" si="172"/>
        <v>25</v>
      </c>
      <c r="K968">
        <f ca="1" t="shared" si="173"/>
        <v>18937</v>
      </c>
      <c r="L968">
        <f ca="1" t="shared" si="174"/>
        <v>2681</v>
      </c>
      <c r="M968">
        <f ca="1" t="shared" si="175"/>
        <v>0.0136401176016</v>
      </c>
    </row>
    <row r="969" spans="1:13">
      <c r="A969" t="str">
        <f ca="1">OFFSET($N$2,(ROW(969:969)-2)/35,0)</f>
        <v>甘肃省</v>
      </c>
      <c r="B969">
        <f ca="1">OFFSET($O$1,0,MOD(ROW(969:969)-2,35))</f>
        <v>2012</v>
      </c>
      <c r="C969">
        <f ca="1" t="shared" si="165"/>
        <v>0.20356224</v>
      </c>
      <c r="D969">
        <f ca="1" t="shared" si="166"/>
        <v>8</v>
      </c>
      <c r="E969">
        <f ca="1" t="shared" si="167"/>
        <v>5</v>
      </c>
      <c r="F969">
        <f ca="1" t="shared" si="168"/>
        <v>0.342099915136</v>
      </c>
      <c r="G969">
        <f ca="1" t="shared" si="169"/>
        <v>0.0475562105088</v>
      </c>
      <c r="H969">
        <f ca="1" t="shared" si="170"/>
        <v>0.484162609728</v>
      </c>
      <c r="I969">
        <f ca="1" t="shared" si="171"/>
        <v>1057</v>
      </c>
      <c r="J969">
        <f ca="1" t="shared" si="172"/>
        <v>24</v>
      </c>
      <c r="K969">
        <f ca="1" t="shared" si="173"/>
        <v>19557</v>
      </c>
      <c r="L969">
        <f ca="1" t="shared" si="174"/>
        <v>3973</v>
      </c>
      <c r="M969">
        <f ca="1" t="shared" si="175"/>
        <v>0.015751355328</v>
      </c>
    </row>
    <row r="970" spans="1:13">
      <c r="A970" t="str">
        <f ca="1">OFFSET($N$2,(ROW(970:970)-2)/35,0)</f>
        <v>甘肃省</v>
      </c>
      <c r="B970">
        <f ca="1">OFFSET($O$1,0,MOD(ROW(970:970)-2,35))</f>
        <v>2013</v>
      </c>
      <c r="C970">
        <f ca="1" t="shared" si="165"/>
        <v>0.20507256</v>
      </c>
      <c r="D970">
        <f ca="1" t="shared" si="166"/>
        <v>8</v>
      </c>
      <c r="E970">
        <f ca="1" t="shared" si="167"/>
        <v>5</v>
      </c>
      <c r="F970">
        <f ca="1" t="shared" si="168"/>
        <v>0.348582337488</v>
      </c>
      <c r="G970">
        <f ca="1" t="shared" si="169"/>
        <v>0.0417753311976</v>
      </c>
      <c r="H970">
        <f ca="1" t="shared" si="170"/>
        <v>0.433092739464</v>
      </c>
      <c r="I970">
        <f ca="1" t="shared" si="171"/>
        <v>1089</v>
      </c>
      <c r="J970">
        <f ca="1" t="shared" si="172"/>
        <v>40</v>
      </c>
      <c r="K970">
        <f ca="1" t="shared" si="173"/>
        <v>14882</v>
      </c>
      <c r="L970">
        <f ca="1" t="shared" si="174"/>
        <v>2753</v>
      </c>
      <c r="M970">
        <f ca="1" t="shared" si="175"/>
        <v>0.015282300132</v>
      </c>
    </row>
    <row r="971" spans="1:13">
      <c r="A971" t="str">
        <f ca="1">OFFSET($N$2,(ROW(971:971)-2)/35,0)</f>
        <v>甘肃省</v>
      </c>
      <c r="B971">
        <f ca="1">OFFSET($O$1,0,MOD(ROW(971:971)-2,35))</f>
        <v>2014</v>
      </c>
      <c r="C971">
        <f ca="1" t="shared" si="165"/>
        <v>0.211344</v>
      </c>
      <c r="D971">
        <f ca="1" t="shared" si="166"/>
        <v>8</v>
      </c>
      <c r="E971">
        <f ca="1" t="shared" si="167"/>
        <v>5</v>
      </c>
      <c r="F971">
        <f ca="1" t="shared" si="168"/>
        <v>0.3934450352</v>
      </c>
      <c r="G971">
        <f ca="1" t="shared" si="169"/>
        <v>0.04698599808</v>
      </c>
      <c r="H971">
        <f ca="1" t="shared" si="170"/>
        <v>0.4487150136</v>
      </c>
      <c r="I971">
        <f ca="1" t="shared" si="171"/>
        <v>1175</v>
      </c>
      <c r="J971">
        <f ca="1" t="shared" si="172"/>
        <v>27</v>
      </c>
      <c r="K971">
        <f ca="1" t="shared" si="173"/>
        <v>16648</v>
      </c>
      <c r="L971">
        <f ca="1" t="shared" si="174"/>
        <v>3468</v>
      </c>
      <c r="M971">
        <f ca="1" t="shared" si="175"/>
        <v>0.01679762112</v>
      </c>
    </row>
    <row r="972" spans="1:13">
      <c r="A972" t="str">
        <f ca="1">OFFSET($N$2,(ROW(972:972)-2)/35,0)</f>
        <v>甘肃省</v>
      </c>
      <c r="B972">
        <f ca="1">OFFSET($O$1,0,MOD(ROW(972:972)-2,35))</f>
        <v>2015</v>
      </c>
      <c r="C972">
        <f ca="1" t="shared" si="165"/>
        <v>0.2334066</v>
      </c>
      <c r="D972">
        <f ca="1" t="shared" si="166"/>
        <v>8</v>
      </c>
      <c r="E972">
        <f ca="1" t="shared" si="167"/>
        <v>5</v>
      </c>
      <c r="F972">
        <f ca="1" t="shared" si="168"/>
        <v>0.39511069248</v>
      </c>
      <c r="G972">
        <f ca="1" t="shared" si="169"/>
        <v>0.051222245403</v>
      </c>
      <c r="H972">
        <f ca="1" t="shared" si="170"/>
        <v>0.51697227834</v>
      </c>
      <c r="I972">
        <f ca="1" t="shared" si="171"/>
        <v>1140</v>
      </c>
      <c r="J972">
        <f ca="1" t="shared" si="172"/>
        <v>37</v>
      </c>
      <c r="K972">
        <f ca="1" t="shared" si="173"/>
        <v>22397</v>
      </c>
      <c r="L972">
        <f ca="1" t="shared" si="174"/>
        <v>3848</v>
      </c>
      <c r="M972">
        <f ca="1" t="shared" si="175"/>
        <v>0.019399089402</v>
      </c>
    </row>
    <row r="973" spans="1:13">
      <c r="A973" t="str">
        <f ca="1">OFFSET($N$2,(ROW(973:973)-2)/35,0)</f>
        <v>甘肃省</v>
      </c>
      <c r="B973">
        <f ca="1">OFFSET($O$1,0,MOD(ROW(973:973)-2,35))</f>
        <v>2016</v>
      </c>
      <c r="C973">
        <f ca="1" t="shared" si="165"/>
        <v>0.22737456</v>
      </c>
      <c r="D973">
        <f ca="1" t="shared" si="166"/>
        <v>8</v>
      </c>
      <c r="E973">
        <f ca="1" t="shared" si="167"/>
        <v>5</v>
      </c>
      <c r="F973">
        <f ca="1" t="shared" si="168"/>
        <v>0.399557735136</v>
      </c>
      <c r="G973">
        <f ca="1" t="shared" si="169"/>
        <v>0.0552599761896</v>
      </c>
      <c r="H973">
        <f ca="1" t="shared" si="170"/>
        <v>0.512127090216</v>
      </c>
      <c r="I973">
        <f ca="1" t="shared" si="171"/>
        <v>933</v>
      </c>
      <c r="J973">
        <f ca="1" t="shared" si="172"/>
        <v>47</v>
      </c>
      <c r="K973">
        <f ca="1" t="shared" si="173"/>
        <v>15357</v>
      </c>
      <c r="L973">
        <f ca="1" t="shared" si="174"/>
        <v>2675</v>
      </c>
      <c r="M973">
        <f ca="1" t="shared" si="175"/>
        <v>0.0184160400768</v>
      </c>
    </row>
    <row r="974" spans="1:13">
      <c r="A974" t="str">
        <f ca="1">OFFSET($N$2,(ROW(974:974)-2)/35,0)</f>
        <v>甘肃省</v>
      </c>
      <c r="B974">
        <f ca="1">OFFSET($O$1,0,MOD(ROW(974:974)-2,35))</f>
        <v>2017</v>
      </c>
      <c r="C974">
        <f ca="1" t="shared" si="165"/>
        <v>0.2320122</v>
      </c>
      <c r="D974">
        <f ca="1" t="shared" si="166"/>
        <v>8</v>
      </c>
      <c r="E974">
        <f ca="1" t="shared" si="167"/>
        <v>5</v>
      </c>
      <c r="F974">
        <f ca="1" t="shared" si="168"/>
        <v>0.40055359582</v>
      </c>
      <c r="G974">
        <f ca="1" t="shared" si="169"/>
        <v>0.054251412726</v>
      </c>
      <c r="H974">
        <f ca="1" t="shared" si="170"/>
        <v>0.49027658043</v>
      </c>
      <c r="I974">
        <f ca="1" t="shared" si="171"/>
        <v>1328</v>
      </c>
      <c r="J974">
        <f ca="1" t="shared" si="172"/>
        <v>49</v>
      </c>
      <c r="K974">
        <f ca="1" t="shared" si="173"/>
        <v>20578</v>
      </c>
      <c r="L974">
        <f ca="1" t="shared" si="174"/>
        <v>2908</v>
      </c>
      <c r="M974">
        <f ca="1" t="shared" si="175"/>
        <v>0.017527195926</v>
      </c>
    </row>
    <row r="975" spans="1:13">
      <c r="A975" t="str">
        <f ca="1">OFFSET($N$2,(ROW(975:975)-2)/35,0)</f>
        <v>甘肃省</v>
      </c>
      <c r="B975">
        <f ca="1">OFFSET($O$1,0,MOD(ROW(975:975)-2,35))</f>
        <v>2018</v>
      </c>
      <c r="C975">
        <f ca="1" t="shared" si="165"/>
        <v>0.23119656</v>
      </c>
      <c r="D975">
        <f ca="1" t="shared" si="166"/>
        <v>8</v>
      </c>
      <c r="E975">
        <f ca="1" t="shared" si="167"/>
        <v>5</v>
      </c>
      <c r="F975">
        <f ca="1" t="shared" si="168"/>
        <v>0.40320680064</v>
      </c>
      <c r="G975">
        <f ca="1" t="shared" si="169"/>
        <v>0.0481339678092</v>
      </c>
      <c r="H975">
        <f ca="1" t="shared" si="170"/>
        <v>0.493304100072</v>
      </c>
      <c r="I975">
        <f ca="1" t="shared" si="171"/>
        <v>1109</v>
      </c>
      <c r="J975">
        <f ca="1" t="shared" si="172"/>
        <v>128</v>
      </c>
      <c r="K975">
        <f ca="1" t="shared" si="173"/>
        <v>22274</v>
      </c>
      <c r="L975">
        <f ca="1" t="shared" si="174"/>
        <v>3486</v>
      </c>
      <c r="M975">
        <f ca="1" t="shared" si="175"/>
        <v>0.0193399225248</v>
      </c>
    </row>
    <row r="976" spans="1:13">
      <c r="A976" t="str">
        <f ca="1">OFFSET($N$2,(ROW(976:976)-2)/35,0)</f>
        <v>甘肃省</v>
      </c>
      <c r="B976">
        <f ca="1">OFFSET($O$1,0,MOD(ROW(976:976)-2,35))</f>
        <v>2019</v>
      </c>
      <c r="C976">
        <f ca="1" t="shared" si="165"/>
        <v>0.25415208</v>
      </c>
      <c r="D976">
        <f ca="1" t="shared" si="166"/>
        <v>9</v>
      </c>
      <c r="E976">
        <f ca="1" t="shared" si="167"/>
        <v>5</v>
      </c>
      <c r="F976">
        <f ca="1" t="shared" si="168"/>
        <v>0.495147553992</v>
      </c>
      <c r="G976">
        <f ca="1" t="shared" si="169"/>
        <v>0.0580661257176</v>
      </c>
      <c r="H976">
        <f ca="1" t="shared" si="170"/>
        <v>0.518953132152</v>
      </c>
      <c r="I976">
        <f ca="1" t="shared" si="171"/>
        <v>1042</v>
      </c>
      <c r="J976">
        <f ca="1" t="shared" si="172"/>
        <v>191</v>
      </c>
      <c r="K976">
        <f ca="1" t="shared" si="173"/>
        <v>21849</v>
      </c>
      <c r="L976">
        <f ca="1" t="shared" si="174"/>
        <v>3781</v>
      </c>
      <c r="M976">
        <f ca="1" t="shared" si="175"/>
        <v>0.020907639324</v>
      </c>
    </row>
    <row r="977" spans="1:13">
      <c r="A977" t="str">
        <f ca="1">OFFSET($N$2,(ROW(977:977)-2)/35,0)</f>
        <v>甘肃省</v>
      </c>
      <c r="B977">
        <f ca="1">OFFSET($O$1,0,MOD(ROW(977:977)-2,35))</f>
        <v>2020</v>
      </c>
      <c r="C977">
        <f ca="1" t="shared" si="165"/>
        <v>0.2476656</v>
      </c>
      <c r="D977">
        <f ca="1" t="shared" si="166"/>
        <v>10</v>
      </c>
      <c r="E977">
        <f ca="1" t="shared" si="167"/>
        <v>5</v>
      </c>
      <c r="F977">
        <f ca="1" t="shared" si="168"/>
        <v>0.4877773992</v>
      </c>
      <c r="G977">
        <f ca="1" t="shared" si="169"/>
        <v>0.058780953504</v>
      </c>
      <c r="H977">
        <f ca="1" t="shared" si="170"/>
        <v>0.55295060184</v>
      </c>
      <c r="I977">
        <f ca="1" t="shared" si="171"/>
        <v>1307</v>
      </c>
      <c r="J977">
        <f ca="1" t="shared" si="172"/>
        <v>148</v>
      </c>
      <c r="K977">
        <f ca="1" t="shared" si="173"/>
        <v>27070</v>
      </c>
      <c r="L977">
        <f ca="1" t="shared" si="174"/>
        <v>4121</v>
      </c>
      <c r="M977">
        <f ca="1" t="shared" si="175"/>
        <v>0.018690261408</v>
      </c>
    </row>
    <row r="978" spans="1:13">
      <c r="A978" t="str">
        <f ca="1">OFFSET($N$2,(ROW(978:978)-2)/35,0)</f>
        <v>甘肃省</v>
      </c>
      <c r="B978">
        <f ca="1">OFFSET($O$1,0,MOD(ROW(978:978)-2,35))</f>
        <v>2021</v>
      </c>
      <c r="C978">
        <f ca="1" t="shared" si="165"/>
        <v>0.25633692</v>
      </c>
      <c r="D978">
        <f ca="1" t="shared" si="166"/>
        <v>10</v>
      </c>
      <c r="E978">
        <f ca="1" t="shared" si="167"/>
        <v>5</v>
      </c>
      <c r="F978">
        <f ca="1" t="shared" si="168"/>
        <v>0.466994600856</v>
      </c>
      <c r="G978">
        <f ca="1" t="shared" si="169"/>
        <v>0.0614901003696</v>
      </c>
      <c r="H978">
        <f ca="1" t="shared" si="170"/>
        <v>0.567606841956</v>
      </c>
      <c r="I978">
        <f ca="1" t="shared" si="171"/>
        <v>1300</v>
      </c>
      <c r="J978">
        <f ca="1" t="shared" si="172"/>
        <v>177</v>
      </c>
      <c r="K978">
        <f ca="1" t="shared" si="173"/>
        <v>20453</v>
      </c>
      <c r="L978">
        <f ca="1" t="shared" si="174"/>
        <v>3533</v>
      </c>
      <c r="M978">
        <f ca="1" t="shared" si="175"/>
        <v>0.0197438019696</v>
      </c>
    </row>
    <row r="979" spans="1:13">
      <c r="A979" t="str">
        <f ca="1">OFFSET($N$2,(ROW(979:979)-2)/35,0)</f>
        <v>甘肃省</v>
      </c>
      <c r="B979">
        <f ca="1">OFFSET($O$1,0,MOD(ROW(979:979)-2,35))</f>
        <v>2022</v>
      </c>
      <c r="C979">
        <f ca="1" t="shared" si="165"/>
        <v>0.26798688</v>
      </c>
      <c r="D979">
        <f ca="1" t="shared" si="166"/>
        <v>10</v>
      </c>
      <c r="E979">
        <f ca="1" t="shared" si="167"/>
        <v>5</v>
      </c>
      <c r="F979">
        <f ca="1" t="shared" si="168"/>
        <v>0.48501158832</v>
      </c>
      <c r="G979">
        <f ca="1" t="shared" si="169"/>
        <v>0.0573907302864</v>
      </c>
      <c r="H979">
        <f ca="1" t="shared" si="170"/>
        <v>0.657519209424</v>
      </c>
      <c r="I979">
        <f ca="1" t="shared" si="171"/>
        <v>1248</v>
      </c>
      <c r="J979">
        <f ca="1" t="shared" si="172"/>
        <v>177</v>
      </c>
      <c r="K979">
        <f ca="1" t="shared" si="173"/>
        <v>27840</v>
      </c>
      <c r="L979">
        <f ca="1" t="shared" si="174"/>
        <v>2950</v>
      </c>
      <c r="M979">
        <f ca="1" t="shared" si="175"/>
        <v>0.0197000983872</v>
      </c>
    </row>
    <row r="980" spans="1:13">
      <c r="A980" t="str">
        <f ca="1">OFFSET($N$2,(ROW(980:980)-2)/35,0)</f>
        <v>甘肃省</v>
      </c>
      <c r="B980">
        <f ca="1">OFFSET($O$1,0,MOD(ROW(980:980)-2,35))</f>
        <v>2023</v>
      </c>
      <c r="C980">
        <f ca="1" t="shared" si="165"/>
        <v>0.2849868</v>
      </c>
      <c r="D980">
        <f ca="1" t="shared" si="166"/>
        <v>10</v>
      </c>
      <c r="E980">
        <f ca="1" t="shared" si="167"/>
        <v>5</v>
      </c>
      <c r="F980">
        <f ca="1" t="shared" si="168"/>
        <v>0.47770437372</v>
      </c>
      <c r="G980">
        <f ca="1" t="shared" si="169"/>
        <v>0.05945537115</v>
      </c>
      <c r="H980">
        <f ca="1" t="shared" si="170"/>
        <v>0.66456071892</v>
      </c>
      <c r="I980">
        <f ca="1" t="shared" si="171"/>
        <v>1420</v>
      </c>
      <c r="J980">
        <f ca="1" t="shared" si="172"/>
        <v>191</v>
      </c>
      <c r="K980">
        <f ca="1" t="shared" si="173"/>
        <v>28479</v>
      </c>
      <c r="L980">
        <f ca="1" t="shared" si="174"/>
        <v>3944</v>
      </c>
      <c r="M980">
        <f ca="1" t="shared" si="175"/>
        <v>0.022989070908</v>
      </c>
    </row>
    <row r="981" spans="1:13">
      <c r="A981" t="str">
        <f ca="1">OFFSET($N$2,(ROW(981:981)-2)/35,0)</f>
        <v>甘肃省</v>
      </c>
      <c r="B981">
        <f ca="1">OFFSET($O$1,0,MOD(ROW(981:981)-2,35))</f>
        <v>2024</v>
      </c>
      <c r="C981">
        <f ca="1" t="shared" si="165"/>
        <v>0.28466592</v>
      </c>
      <c r="D981">
        <f ca="1" t="shared" si="166"/>
        <v>10</v>
      </c>
      <c r="E981">
        <f ca="1" t="shared" si="167"/>
        <v>5</v>
      </c>
      <c r="F981">
        <f ca="1" t="shared" si="168"/>
        <v>0.553760614176</v>
      </c>
      <c r="G981">
        <f ca="1" t="shared" si="169"/>
        <v>0.0580618843728</v>
      </c>
      <c r="H981">
        <f ca="1" t="shared" si="170"/>
        <v>0.69344618112</v>
      </c>
      <c r="I981">
        <f ca="1" t="shared" si="171"/>
        <v>1249</v>
      </c>
      <c r="J981">
        <f ca="1" t="shared" si="172"/>
        <v>282</v>
      </c>
      <c r="K981">
        <f ca="1" t="shared" si="173"/>
        <v>29241</v>
      </c>
      <c r="L981">
        <f ca="1" t="shared" si="174"/>
        <v>4265</v>
      </c>
      <c r="M981">
        <f ca="1" t="shared" si="175"/>
        <v>0.0213625506336</v>
      </c>
    </row>
    <row r="982" spans="1:13">
      <c r="A982" t="str">
        <f ca="1">OFFSET($N$2,(ROW(982:982)-2)/35,0)</f>
        <v>青海省</v>
      </c>
      <c r="B982">
        <f ca="1">OFFSET($O$1,0,MOD(ROW(982:982)-2,35))</f>
        <v>1990</v>
      </c>
      <c r="C982">
        <f ca="1" t="shared" si="165"/>
        <v>0.06048</v>
      </c>
      <c r="D982">
        <f ca="1" t="shared" si="166"/>
        <v>1</v>
      </c>
      <c r="E982">
        <f ca="1" t="shared" si="167"/>
        <v>0</v>
      </c>
      <c r="F982">
        <f ca="1" t="shared" si="168"/>
        <v>0.100822176</v>
      </c>
      <c r="G982">
        <f ca="1" t="shared" si="169"/>
        <v>0.0143422272</v>
      </c>
      <c r="H982">
        <f ca="1" t="shared" si="170"/>
        <v>0.149210208</v>
      </c>
      <c r="I982">
        <f ca="1" t="shared" si="171"/>
        <v>256</v>
      </c>
      <c r="J982">
        <f ca="1" t="shared" si="172"/>
        <v>10</v>
      </c>
      <c r="K982">
        <f ca="1" t="shared" si="173"/>
        <v>4826</v>
      </c>
      <c r="L982">
        <f ca="1" t="shared" si="174"/>
        <v>752</v>
      </c>
      <c r="M982">
        <f ca="1" t="shared" si="175"/>
        <v>0.0044285184</v>
      </c>
    </row>
    <row r="983" spans="1:13">
      <c r="A983" t="str">
        <f ca="1">OFFSET($N$2,(ROW(983:983)-2)/35,0)</f>
        <v>青海省</v>
      </c>
      <c r="B983">
        <f ca="1">OFFSET($O$1,0,MOD(ROW(983:983)-2,35))</f>
        <v>1991</v>
      </c>
      <c r="C983">
        <f ca="1" t="shared" si="165"/>
        <v>0.065604</v>
      </c>
      <c r="D983">
        <f ca="1" t="shared" si="166"/>
        <v>2</v>
      </c>
      <c r="E983">
        <f ca="1" t="shared" si="167"/>
        <v>0</v>
      </c>
      <c r="F983">
        <f ca="1" t="shared" si="168"/>
        <v>0.125620726</v>
      </c>
      <c r="G983">
        <f ca="1" t="shared" si="169"/>
        <v>0.01375092642</v>
      </c>
      <c r="H983">
        <f ca="1" t="shared" si="170"/>
        <v>0.1394839446</v>
      </c>
      <c r="I983">
        <f ca="1" t="shared" si="171"/>
        <v>280</v>
      </c>
      <c r="J983">
        <f ca="1" t="shared" si="172"/>
        <v>7</v>
      </c>
      <c r="K983">
        <f ca="1" t="shared" si="173"/>
        <v>5382</v>
      </c>
      <c r="L983">
        <f ca="1" t="shared" si="174"/>
        <v>1149</v>
      </c>
      <c r="M983">
        <f ca="1" t="shared" si="175"/>
        <v>0.00544756872</v>
      </c>
    </row>
    <row r="984" spans="1:13">
      <c r="A984" t="str">
        <f ca="1">OFFSET($N$2,(ROW(984:984)-2)/35,0)</f>
        <v>青海省</v>
      </c>
      <c r="B984">
        <f ca="1">OFFSET($O$1,0,MOD(ROW(984:984)-2,35))</f>
        <v>1992</v>
      </c>
      <c r="C984">
        <f ca="1" t="shared" si="165"/>
        <v>0.07127568</v>
      </c>
      <c r="D984">
        <f ca="1" t="shared" si="166"/>
        <v>2</v>
      </c>
      <c r="E984">
        <f ca="1" t="shared" si="167"/>
        <v>0</v>
      </c>
      <c r="F984">
        <f ca="1" t="shared" si="168"/>
        <v>0.12941287632</v>
      </c>
      <c r="G984">
        <f ca="1" t="shared" si="169"/>
        <v>0.0170698126032</v>
      </c>
      <c r="H984">
        <f ca="1" t="shared" si="170"/>
        <v>0.160259802696</v>
      </c>
      <c r="I984">
        <f ca="1" t="shared" si="171"/>
        <v>335</v>
      </c>
      <c r="J984">
        <f ca="1" t="shared" si="172"/>
        <v>10</v>
      </c>
      <c r="K984">
        <f ca="1" t="shared" si="173"/>
        <v>7160</v>
      </c>
      <c r="L984">
        <f ca="1" t="shared" si="174"/>
        <v>1143</v>
      </c>
      <c r="M984">
        <f ca="1" t="shared" si="175"/>
        <v>0.0059909245488</v>
      </c>
    </row>
    <row r="985" spans="1:13">
      <c r="A985" t="str">
        <f ca="1">OFFSET($N$2,(ROW(985:985)-2)/35,0)</f>
        <v>青海省</v>
      </c>
      <c r="B985">
        <f ca="1">OFFSET($O$1,0,MOD(ROW(985:985)-2,35))</f>
        <v>1993</v>
      </c>
      <c r="C985">
        <f ca="1" t="shared" si="165"/>
        <v>0.0800982</v>
      </c>
      <c r="D985">
        <f ca="1" t="shared" si="166"/>
        <v>2</v>
      </c>
      <c r="E985">
        <f ca="1" t="shared" si="167"/>
        <v>0</v>
      </c>
      <c r="F985">
        <f ca="1" t="shared" si="168"/>
        <v>0.15824467386</v>
      </c>
      <c r="G985">
        <f ca="1" t="shared" si="169"/>
        <v>0.017447390415</v>
      </c>
      <c r="H985">
        <f ca="1" t="shared" si="170"/>
        <v>0.17879520204</v>
      </c>
      <c r="I985">
        <f ca="1" t="shared" si="171"/>
        <v>436</v>
      </c>
      <c r="J985">
        <f ca="1" t="shared" si="172"/>
        <v>15</v>
      </c>
      <c r="K985">
        <f ca="1" t="shared" si="173"/>
        <v>9019</v>
      </c>
      <c r="L985">
        <f ca="1" t="shared" si="174"/>
        <v>1373</v>
      </c>
      <c r="M985">
        <f ca="1" t="shared" si="175"/>
        <v>0.006316772904</v>
      </c>
    </row>
    <row r="986" spans="1:13">
      <c r="A986" t="str">
        <f ca="1">OFFSET($N$2,(ROW(986:986)-2)/35,0)</f>
        <v>青海省</v>
      </c>
      <c r="B986">
        <f ca="1">OFFSET($O$1,0,MOD(ROW(986:986)-2,35))</f>
        <v>1994</v>
      </c>
      <c r="C986">
        <f ca="1" t="shared" si="165"/>
        <v>0.09175152</v>
      </c>
      <c r="D986">
        <f ca="1" t="shared" si="166"/>
        <v>2</v>
      </c>
      <c r="E986">
        <f ca="1" t="shared" si="167"/>
        <v>0</v>
      </c>
      <c r="F986">
        <f ca="1" t="shared" si="168"/>
        <v>0.159981008656</v>
      </c>
      <c r="G986">
        <f ca="1" t="shared" si="169"/>
        <v>0.0188315407224</v>
      </c>
      <c r="H986">
        <f ca="1" t="shared" si="170"/>
        <v>0.208996199832</v>
      </c>
      <c r="I986">
        <f ca="1" t="shared" si="171"/>
        <v>532</v>
      </c>
      <c r="J986">
        <f ca="1" t="shared" si="172"/>
        <v>17</v>
      </c>
      <c r="K986">
        <f ca="1" t="shared" si="173"/>
        <v>5766</v>
      </c>
      <c r="L986">
        <f ca="1" t="shared" si="174"/>
        <v>1526</v>
      </c>
      <c r="M986">
        <f ca="1" t="shared" si="175"/>
        <v>0.0067093954368</v>
      </c>
    </row>
    <row r="987" spans="1:13">
      <c r="A987" t="str">
        <f ca="1">OFFSET($N$2,(ROW(987:987)-2)/35,0)</f>
        <v>青海省</v>
      </c>
      <c r="B987">
        <f ca="1">OFFSET($O$1,0,MOD(ROW(987:987)-2,35))</f>
        <v>1995</v>
      </c>
      <c r="C987">
        <f ca="1" t="shared" si="165"/>
        <v>0.0883512</v>
      </c>
      <c r="D987">
        <f ca="1" t="shared" si="166"/>
        <v>3</v>
      </c>
      <c r="E987">
        <f ca="1" t="shared" si="167"/>
        <v>0</v>
      </c>
      <c r="F987">
        <f ca="1" t="shared" si="168"/>
        <v>0.171695832</v>
      </c>
      <c r="G987">
        <f ca="1" t="shared" si="169"/>
        <v>0.019947050424</v>
      </c>
      <c r="H987">
        <f ca="1" t="shared" si="170"/>
        <v>0.21995914752</v>
      </c>
      <c r="I987">
        <f ca="1" t="shared" si="171"/>
        <v>525</v>
      </c>
      <c r="J987">
        <f ca="1" t="shared" si="172"/>
        <v>9</v>
      </c>
      <c r="K987">
        <f ca="1" t="shared" si="173"/>
        <v>8276</v>
      </c>
      <c r="L987">
        <f ca="1" t="shared" si="174"/>
        <v>1012</v>
      </c>
      <c r="M987">
        <f ca="1" t="shared" si="175"/>
        <v>0.007062921144</v>
      </c>
    </row>
    <row r="988" spans="1:13">
      <c r="A988" t="str">
        <f ca="1">OFFSET($N$2,(ROW(988:988)-2)/35,0)</f>
        <v>青海省</v>
      </c>
      <c r="B988">
        <f ca="1">OFFSET($O$1,0,MOD(ROW(988:988)-2,35))</f>
        <v>1996</v>
      </c>
      <c r="C988">
        <f ca="1" t="shared" si="165"/>
        <v>0.10696896</v>
      </c>
      <c r="D988">
        <f ca="1" t="shared" si="166"/>
        <v>3</v>
      </c>
      <c r="E988">
        <f ca="1" t="shared" si="167"/>
        <v>0</v>
      </c>
      <c r="F988">
        <f ca="1" t="shared" si="168"/>
        <v>0.203301639744</v>
      </c>
      <c r="G988">
        <f ca="1" t="shared" si="169"/>
        <v>0.0245322612864</v>
      </c>
      <c r="H988">
        <f ca="1" t="shared" si="170"/>
        <v>0.258319341504</v>
      </c>
      <c r="I988">
        <f ca="1" t="shared" si="171"/>
        <v>501</v>
      </c>
      <c r="J988">
        <f ca="1" t="shared" si="172"/>
        <v>19</v>
      </c>
      <c r="K988">
        <f ca="1" t="shared" si="173"/>
        <v>8463</v>
      </c>
      <c r="L988">
        <f ca="1" t="shared" si="174"/>
        <v>1382</v>
      </c>
      <c r="M988">
        <f ca="1" t="shared" si="175"/>
        <v>0.0091039753728</v>
      </c>
    </row>
    <row r="989" spans="1:13">
      <c r="A989" t="str">
        <f ca="1">OFFSET($N$2,(ROW(989:989)-2)/35,0)</f>
        <v>青海省</v>
      </c>
      <c r="B989">
        <f ca="1">OFFSET($O$1,0,MOD(ROW(989:989)-2,35))</f>
        <v>1997</v>
      </c>
      <c r="C989">
        <f ca="1" t="shared" si="165"/>
        <v>0.104601</v>
      </c>
      <c r="D989">
        <f ca="1" t="shared" si="166"/>
        <v>3</v>
      </c>
      <c r="E989">
        <f ca="1" t="shared" si="167"/>
        <v>0</v>
      </c>
      <c r="F989">
        <f ca="1" t="shared" si="168"/>
        <v>0.1932189672</v>
      </c>
      <c r="G989">
        <f ca="1" t="shared" si="169"/>
        <v>0.025266894555</v>
      </c>
      <c r="H989">
        <f ca="1" t="shared" si="170"/>
        <v>0.2471198625</v>
      </c>
      <c r="I989">
        <f ca="1" t="shared" si="171"/>
        <v>453</v>
      </c>
      <c r="J989">
        <f ca="1" t="shared" si="172"/>
        <v>21</v>
      </c>
      <c r="K989">
        <f ca="1" t="shared" si="173"/>
        <v>7998</v>
      </c>
      <c r="L989">
        <f ca="1" t="shared" si="174"/>
        <v>1789</v>
      </c>
      <c r="M989">
        <f ca="1" t="shared" si="175"/>
        <v>0.00871894164</v>
      </c>
    </row>
    <row r="990" spans="1:13">
      <c r="A990" t="str">
        <f ca="1">OFFSET($N$2,(ROW(990:990)-2)/35,0)</f>
        <v>青海省</v>
      </c>
      <c r="B990">
        <f ca="1">OFFSET($O$1,0,MOD(ROW(990:990)-2,35))</f>
        <v>1998</v>
      </c>
      <c r="C990">
        <f ca="1" t="shared" si="165"/>
        <v>0.10618776</v>
      </c>
      <c r="D990">
        <f ca="1" t="shared" si="166"/>
        <v>4</v>
      </c>
      <c r="E990">
        <f ca="1" t="shared" si="167"/>
        <v>0</v>
      </c>
      <c r="F990">
        <f ca="1" t="shared" si="168"/>
        <v>0.208857165552</v>
      </c>
      <c r="G990">
        <f ca="1" t="shared" si="169"/>
        <v>0.0257579649432</v>
      </c>
      <c r="H990">
        <f ca="1" t="shared" si="170"/>
        <v>0.261497977776</v>
      </c>
      <c r="I990">
        <f ca="1" t="shared" si="171"/>
        <v>426</v>
      </c>
      <c r="J990">
        <f ca="1" t="shared" si="172"/>
        <v>18</v>
      </c>
      <c r="K990">
        <f ca="1" t="shared" si="173"/>
        <v>11463</v>
      </c>
      <c r="L990">
        <f ca="1" t="shared" si="174"/>
        <v>1678</v>
      </c>
      <c r="M990">
        <f ca="1" t="shared" si="175"/>
        <v>0.0081647768664</v>
      </c>
    </row>
    <row r="991" spans="1:13">
      <c r="A991" t="str">
        <f ca="1">OFFSET($N$2,(ROW(991:991)-2)/35,0)</f>
        <v>青海省</v>
      </c>
      <c r="B991">
        <f ca="1">OFFSET($O$1,0,MOD(ROW(991:991)-2,35))</f>
        <v>1999</v>
      </c>
      <c r="C991">
        <f ca="1" t="shared" si="165"/>
        <v>0.11583768</v>
      </c>
      <c r="D991">
        <f ca="1" t="shared" si="166"/>
        <v>4</v>
      </c>
      <c r="E991">
        <f ca="1" t="shared" si="167"/>
        <v>0</v>
      </c>
      <c r="F991">
        <f ca="1" t="shared" si="168"/>
        <v>0.223416133416</v>
      </c>
      <c r="G991">
        <f ca="1" t="shared" si="169"/>
        <v>0.025869449886</v>
      </c>
      <c r="H991">
        <f ca="1" t="shared" si="170"/>
        <v>0.267834091812</v>
      </c>
      <c r="I991">
        <f ca="1" t="shared" si="171"/>
        <v>518</v>
      </c>
      <c r="J991">
        <f ca="1" t="shared" si="172"/>
        <v>17</v>
      </c>
      <c r="K991">
        <f ca="1" t="shared" si="173"/>
        <v>9509</v>
      </c>
      <c r="L991">
        <f ca="1" t="shared" si="174"/>
        <v>1314</v>
      </c>
      <c r="M991">
        <f ca="1" t="shared" si="175"/>
        <v>0.0090586720584</v>
      </c>
    </row>
    <row r="992" spans="1:13">
      <c r="A992" t="str">
        <f ca="1">OFFSET($N$2,(ROW(992:992)-2)/35,0)</f>
        <v>青海省</v>
      </c>
      <c r="B992">
        <f ca="1">OFFSET($O$1,0,MOD(ROW(992:992)-2,35))</f>
        <v>2000</v>
      </c>
      <c r="C992">
        <f ca="1" t="shared" si="165"/>
        <v>0.1243032</v>
      </c>
      <c r="D992">
        <f ca="1" t="shared" si="166"/>
        <v>4</v>
      </c>
      <c r="E992">
        <f ca="1" t="shared" si="167"/>
        <v>0</v>
      </c>
      <c r="F992">
        <f ca="1" t="shared" si="168"/>
        <v>0.22774832304</v>
      </c>
      <c r="G992">
        <f ca="1" t="shared" si="169"/>
        <v>0.02881348176</v>
      </c>
      <c r="H992">
        <f ca="1" t="shared" si="170"/>
        <v>0.26512629528</v>
      </c>
      <c r="I992">
        <f ca="1" t="shared" si="171"/>
        <v>695</v>
      </c>
      <c r="J992">
        <f ca="1" t="shared" si="172"/>
        <v>22</v>
      </c>
      <c r="K992">
        <f ca="1" t="shared" si="173"/>
        <v>9358</v>
      </c>
      <c r="L992">
        <f ca="1" t="shared" si="174"/>
        <v>1358</v>
      </c>
      <c r="M992">
        <f ca="1" t="shared" si="175"/>
        <v>0.00994958328</v>
      </c>
    </row>
    <row r="993" spans="1:13">
      <c r="A993" t="str">
        <f ca="1">OFFSET($N$2,(ROW(993:993)-2)/35,0)</f>
        <v>青海省</v>
      </c>
      <c r="B993">
        <f ca="1">OFFSET($O$1,0,MOD(ROW(993:993)-2,35))</f>
        <v>2001</v>
      </c>
      <c r="C993">
        <f ca="1" t="shared" si="165"/>
        <v>0.13783896</v>
      </c>
      <c r="D993">
        <f ca="1" t="shared" si="166"/>
        <v>4</v>
      </c>
      <c r="E993">
        <f ca="1" t="shared" si="167"/>
        <v>0</v>
      </c>
      <c r="F993">
        <f ca="1" t="shared" si="168"/>
        <v>0.229970520864</v>
      </c>
      <c r="G993">
        <f ca="1" t="shared" si="169"/>
        <v>0.029363144454</v>
      </c>
      <c r="H993">
        <f ca="1" t="shared" si="170"/>
        <v>0.2820529719</v>
      </c>
      <c r="I993">
        <f ca="1" t="shared" si="171"/>
        <v>810</v>
      </c>
      <c r="J993">
        <f ca="1" t="shared" si="172"/>
        <v>15</v>
      </c>
      <c r="K993">
        <f ca="1" t="shared" si="173"/>
        <v>16319</v>
      </c>
      <c r="L993">
        <f ca="1" t="shared" si="174"/>
        <v>1693</v>
      </c>
      <c r="M993">
        <f ca="1" t="shared" si="175"/>
        <v>0.011763570672</v>
      </c>
    </row>
    <row r="994" spans="1:13">
      <c r="A994" t="str">
        <f ca="1">OFFSET($N$2,(ROW(994:994)-2)/35,0)</f>
        <v>青海省</v>
      </c>
      <c r="B994">
        <f ca="1">OFFSET($O$1,0,MOD(ROW(994:994)-2,35))</f>
        <v>2002</v>
      </c>
      <c r="C994">
        <f ca="1" t="shared" si="165"/>
        <v>0.13063512</v>
      </c>
      <c r="D994">
        <f ca="1" t="shared" si="166"/>
        <v>4</v>
      </c>
      <c r="E994">
        <f ca="1" t="shared" si="167"/>
        <v>0</v>
      </c>
      <c r="F994">
        <f ca="1" t="shared" si="168"/>
        <v>0.239423693432</v>
      </c>
      <c r="G994">
        <f ca="1" t="shared" si="169"/>
        <v>0.0293817980148</v>
      </c>
      <c r="H994">
        <f ca="1" t="shared" si="170"/>
        <v>0.287090271468</v>
      </c>
      <c r="I994">
        <f ca="1" t="shared" si="171"/>
        <v>659</v>
      </c>
      <c r="J994">
        <f ca="1" t="shared" si="172"/>
        <v>18</v>
      </c>
      <c r="K994">
        <f ca="1" t="shared" si="173"/>
        <v>10403</v>
      </c>
      <c r="L994">
        <f ca="1" t="shared" si="174"/>
        <v>2297</v>
      </c>
      <c r="M994">
        <f ca="1" t="shared" si="175"/>
        <v>0.0097326896832</v>
      </c>
    </row>
    <row r="995" spans="1:13">
      <c r="A995" t="str">
        <f ca="1">OFFSET($N$2,(ROW(995:995)-2)/35,0)</f>
        <v>青海省</v>
      </c>
      <c r="B995">
        <f ca="1">OFFSET($O$1,0,MOD(ROW(995:995)-2,35))</f>
        <v>2003</v>
      </c>
      <c r="C995">
        <f ca="1" t="shared" si="165"/>
        <v>0.14669676</v>
      </c>
      <c r="D995">
        <f ca="1" t="shared" si="166"/>
        <v>4</v>
      </c>
      <c r="E995">
        <f ca="1" t="shared" si="167"/>
        <v>1</v>
      </c>
      <c r="F995">
        <f ca="1" t="shared" si="168"/>
        <v>0.253301295492</v>
      </c>
      <c r="G995">
        <f ca="1" t="shared" si="169"/>
        <v>0.0349314324912</v>
      </c>
      <c r="H995">
        <f ca="1" t="shared" si="170"/>
        <v>0.354536729568</v>
      </c>
      <c r="I995">
        <f ca="1" t="shared" si="171"/>
        <v>837</v>
      </c>
      <c r="J995">
        <f ca="1" t="shared" si="172"/>
        <v>25</v>
      </c>
      <c r="K995">
        <f ca="1" t="shared" si="173"/>
        <v>9763</v>
      </c>
      <c r="L995">
        <f ca="1" t="shared" si="174"/>
        <v>2373</v>
      </c>
      <c r="M995">
        <f ca="1" t="shared" si="175"/>
        <v>0.0112640059332</v>
      </c>
    </row>
    <row r="996" spans="1:13">
      <c r="A996" t="str">
        <f ca="1">OFFSET($N$2,(ROW(996:996)-2)/35,0)</f>
        <v>青海省</v>
      </c>
      <c r="B996">
        <f ca="1">OFFSET($O$1,0,MOD(ROW(996:996)-2,35))</f>
        <v>2004</v>
      </c>
      <c r="C996">
        <f ca="1" t="shared" si="165"/>
        <v>0.14241024</v>
      </c>
      <c r="D996">
        <f ca="1" t="shared" si="166"/>
        <v>4</v>
      </c>
      <c r="E996">
        <f ca="1" t="shared" si="167"/>
        <v>1</v>
      </c>
      <c r="F996">
        <f ca="1" t="shared" si="168"/>
        <v>0.273873879552</v>
      </c>
      <c r="G996">
        <f ca="1" t="shared" si="169"/>
        <v>0.0328875087744</v>
      </c>
      <c r="H996">
        <f ca="1" t="shared" si="170"/>
        <v>0.354330918144</v>
      </c>
      <c r="I996">
        <f ca="1" t="shared" si="171"/>
        <v>732</v>
      </c>
      <c r="J996">
        <f ca="1" t="shared" si="172"/>
        <v>19</v>
      </c>
      <c r="K996">
        <f ca="1" t="shared" si="173"/>
        <v>13477</v>
      </c>
      <c r="L996">
        <f ca="1" t="shared" si="174"/>
        <v>2241</v>
      </c>
      <c r="M996">
        <f ca="1" t="shared" si="175"/>
        <v>0.011988907776</v>
      </c>
    </row>
    <row r="997" spans="1:13">
      <c r="A997" t="str">
        <f ca="1">OFFSET($N$2,(ROW(997:997)-2)/35,0)</f>
        <v>青海省</v>
      </c>
      <c r="B997">
        <f ca="1">OFFSET($O$1,0,MOD(ROW(997:997)-2,35))</f>
        <v>2005</v>
      </c>
      <c r="C997">
        <f ca="1" t="shared" si="165"/>
        <v>0.167937</v>
      </c>
      <c r="D997">
        <f ca="1" t="shared" si="166"/>
        <v>4</v>
      </c>
      <c r="E997">
        <f ca="1" t="shared" si="167"/>
        <v>1</v>
      </c>
      <c r="F997">
        <f ca="1" t="shared" si="168"/>
        <v>0.2981105666</v>
      </c>
      <c r="G997">
        <f ca="1" t="shared" si="169"/>
        <v>0.03516264906</v>
      </c>
      <c r="H997">
        <f ca="1" t="shared" si="170"/>
        <v>0.33725948025</v>
      </c>
      <c r="I997">
        <f ca="1" t="shared" si="171"/>
        <v>972</v>
      </c>
      <c r="J997">
        <f ca="1" t="shared" si="172"/>
        <v>24</v>
      </c>
      <c r="K997">
        <f ca="1" t="shared" si="173"/>
        <v>12346</v>
      </c>
      <c r="L997">
        <f ca="1" t="shared" si="174"/>
        <v>2741</v>
      </c>
      <c r="M997">
        <f ca="1" t="shared" si="175"/>
        <v>0.0135045339</v>
      </c>
    </row>
    <row r="998" spans="1:13">
      <c r="A998" t="str">
        <f ca="1">OFFSET($N$2,(ROW(998:998)-2)/35,0)</f>
        <v>青海省</v>
      </c>
      <c r="B998">
        <f ca="1">OFFSET($O$1,0,MOD(ROW(998:998)-2,35))</f>
        <v>2006</v>
      </c>
      <c r="C998">
        <f ca="1" t="shared" si="165"/>
        <v>0.16753464</v>
      </c>
      <c r="D998">
        <f ca="1" t="shared" si="166"/>
        <v>4</v>
      </c>
      <c r="E998">
        <f ca="1" t="shared" si="167"/>
        <v>1</v>
      </c>
      <c r="F998">
        <f ca="1" t="shared" si="168"/>
        <v>0.297859836456</v>
      </c>
      <c r="G998">
        <f ca="1" t="shared" si="169"/>
        <v>0.040756989546</v>
      </c>
      <c r="H998">
        <f ca="1" t="shared" si="170"/>
        <v>0.363709326708</v>
      </c>
      <c r="I998">
        <f ca="1" t="shared" si="171"/>
        <v>764</v>
      </c>
      <c r="J998">
        <f ca="1" t="shared" si="172"/>
        <v>31</v>
      </c>
      <c r="K998">
        <f ca="1" t="shared" si="173"/>
        <v>14349</v>
      </c>
      <c r="L998">
        <f ca="1" t="shared" si="174"/>
        <v>2041</v>
      </c>
      <c r="M998">
        <f ca="1" t="shared" si="175"/>
        <v>0.0126096143472</v>
      </c>
    </row>
    <row r="999" spans="1:13">
      <c r="A999" t="str">
        <f ca="1">OFFSET($N$2,(ROW(999:999)-2)/35,0)</f>
        <v>青海省</v>
      </c>
      <c r="B999">
        <f ca="1">OFFSET($O$1,0,MOD(ROW(999:999)-2,35))</f>
        <v>2007</v>
      </c>
      <c r="C999">
        <f ca="1" t="shared" si="165"/>
        <v>0.16599492</v>
      </c>
      <c r="D999">
        <f ca="1" t="shared" si="166"/>
        <v>5</v>
      </c>
      <c r="E999">
        <f ca="1" t="shared" si="167"/>
        <v>1</v>
      </c>
      <c r="F999">
        <f ca="1" t="shared" si="168"/>
        <v>0.326168951472</v>
      </c>
      <c r="G999">
        <f ca="1" t="shared" si="169"/>
        <v>0.0413053459182</v>
      </c>
      <c r="H999">
        <f ca="1" t="shared" si="170"/>
        <v>0.356772881556</v>
      </c>
      <c r="I999">
        <f ca="1" t="shared" si="171"/>
        <v>969</v>
      </c>
      <c r="J999">
        <f ca="1" t="shared" si="172"/>
        <v>21</v>
      </c>
      <c r="K999">
        <f ca="1" t="shared" si="173"/>
        <v>18163</v>
      </c>
      <c r="L999">
        <f ca="1" t="shared" si="174"/>
        <v>2541</v>
      </c>
      <c r="M999">
        <f ca="1" t="shared" si="175"/>
        <v>0.0138790723968</v>
      </c>
    </row>
    <row r="1000" spans="1:13">
      <c r="A1000" t="str">
        <f ca="1">OFFSET($N$2,(ROW(1000:1000)-2)/35,0)</f>
        <v>青海省</v>
      </c>
      <c r="B1000">
        <f ca="1">OFFSET($O$1,0,MOD(ROW(1000:1000)-2,35))</f>
        <v>2008</v>
      </c>
      <c r="C1000">
        <f ca="1" t="shared" si="165"/>
        <v>0.172284</v>
      </c>
      <c r="D1000">
        <f ca="1" t="shared" si="166"/>
        <v>5</v>
      </c>
      <c r="E1000">
        <f ca="1" t="shared" si="167"/>
        <v>1</v>
      </c>
      <c r="F1000">
        <f ca="1" t="shared" si="168"/>
        <v>0.3021057368</v>
      </c>
      <c r="G1000">
        <f ca="1" t="shared" si="169"/>
        <v>0.0419123901</v>
      </c>
      <c r="H1000">
        <f ca="1" t="shared" si="170"/>
        <v>0.3817727298</v>
      </c>
      <c r="I1000">
        <f ca="1" t="shared" si="171"/>
        <v>959</v>
      </c>
      <c r="J1000">
        <f ca="1" t="shared" si="172"/>
        <v>26</v>
      </c>
      <c r="K1000">
        <f ca="1" t="shared" si="173"/>
        <v>14366</v>
      </c>
      <c r="L1000">
        <f ca="1" t="shared" si="174"/>
        <v>3003</v>
      </c>
      <c r="M1000">
        <f ca="1" t="shared" si="175"/>
        <v>0.01330303212</v>
      </c>
    </row>
    <row r="1001" spans="1:13">
      <c r="A1001" t="str">
        <f ca="1">OFFSET($N$2,(ROW(1001:1001)-2)/35,0)</f>
        <v>青海省</v>
      </c>
      <c r="B1001">
        <f ca="1">OFFSET($O$1,0,MOD(ROW(1001:1001)-2,35))</f>
        <v>2009</v>
      </c>
      <c r="C1001">
        <f ca="1" t="shared" si="165"/>
        <v>0.1914696</v>
      </c>
      <c r="D1001">
        <f ca="1" t="shared" si="166"/>
        <v>5</v>
      </c>
      <c r="E1001">
        <f ca="1" t="shared" si="167"/>
        <v>1</v>
      </c>
      <c r="F1001">
        <f ca="1" t="shared" si="168"/>
        <v>0.35601219192</v>
      </c>
      <c r="G1001">
        <f ca="1" t="shared" si="169"/>
        <v>0.03990705138</v>
      </c>
      <c r="H1001">
        <f ca="1" t="shared" si="170"/>
        <v>0.3880610118</v>
      </c>
      <c r="I1001">
        <f ca="1" t="shared" si="171"/>
        <v>894</v>
      </c>
      <c r="J1001">
        <f ca="1" t="shared" si="172"/>
        <v>26</v>
      </c>
      <c r="K1001">
        <f ca="1" t="shared" si="173"/>
        <v>17627</v>
      </c>
      <c r="L1001">
        <f ca="1" t="shared" si="174"/>
        <v>2150</v>
      </c>
      <c r="M1001">
        <f ca="1" t="shared" si="175"/>
        <v>0.014630465664</v>
      </c>
    </row>
    <row r="1002" spans="1:13">
      <c r="A1002" t="str">
        <f ca="1">OFFSET($N$2,(ROW(1002:1002)-2)/35,0)</f>
        <v>青海省</v>
      </c>
      <c r="B1002">
        <f ca="1">OFFSET($O$1,0,MOD(ROW(1002:1002)-2,35))</f>
        <v>2010</v>
      </c>
      <c r="C1002">
        <f ca="1" t="shared" si="165"/>
        <v>0.1926792</v>
      </c>
      <c r="D1002">
        <f ca="1" t="shared" si="166"/>
        <v>5</v>
      </c>
      <c r="E1002">
        <f ca="1" t="shared" si="167"/>
        <v>1</v>
      </c>
      <c r="F1002">
        <f ca="1" t="shared" si="168"/>
        <v>0.35763828576</v>
      </c>
      <c r="G1002">
        <f ca="1" t="shared" si="169"/>
        <v>0.047517580908</v>
      </c>
      <c r="H1002">
        <f ca="1" t="shared" si="170"/>
        <v>0.39959739288</v>
      </c>
      <c r="I1002">
        <f ca="1" t="shared" si="171"/>
        <v>1084</v>
      </c>
      <c r="J1002">
        <f ca="1" t="shared" si="172"/>
        <v>34</v>
      </c>
      <c r="K1002">
        <f ca="1" t="shared" si="173"/>
        <v>18839</v>
      </c>
      <c r="L1002">
        <f ca="1" t="shared" si="174"/>
        <v>2980</v>
      </c>
      <c r="M1002">
        <f ca="1" t="shared" si="175"/>
        <v>0.015978335544</v>
      </c>
    </row>
    <row r="1003" spans="1:13">
      <c r="A1003" t="str">
        <f ca="1">OFFSET($N$2,(ROW(1003:1003)-2)/35,0)</f>
        <v>青海省</v>
      </c>
      <c r="B1003">
        <f ca="1">OFFSET($O$1,0,MOD(ROW(1003:1003)-2,35))</f>
        <v>2011</v>
      </c>
      <c r="C1003">
        <f ca="1" t="shared" si="165"/>
        <v>0.205716</v>
      </c>
      <c r="D1003">
        <f ca="1" t="shared" si="166"/>
        <v>5</v>
      </c>
      <c r="E1003">
        <f ca="1" t="shared" si="167"/>
        <v>1</v>
      </c>
      <c r="F1003">
        <f ca="1" t="shared" si="168"/>
        <v>0.3843597744</v>
      </c>
      <c r="G1003">
        <f ca="1" t="shared" si="169"/>
        <v>0.04388642286</v>
      </c>
      <c r="H1003">
        <f ca="1" t="shared" si="170"/>
        <v>0.4925972478</v>
      </c>
      <c r="I1003">
        <f ca="1" t="shared" si="171"/>
        <v>863</v>
      </c>
      <c r="J1003">
        <f ca="1" t="shared" si="172"/>
        <v>36</v>
      </c>
      <c r="K1003">
        <f ca="1" t="shared" si="173"/>
        <v>21948</v>
      </c>
      <c r="L1003">
        <f ca="1" t="shared" si="174"/>
        <v>2324</v>
      </c>
      <c r="M1003">
        <f ca="1" t="shared" si="175"/>
        <v>0.0175123092</v>
      </c>
    </row>
    <row r="1004" spans="1:13">
      <c r="A1004" t="str">
        <f ca="1">OFFSET($N$2,(ROW(1004:1004)-2)/35,0)</f>
        <v>青海省</v>
      </c>
      <c r="B1004">
        <f ca="1">OFFSET($O$1,0,MOD(ROW(1004:1004)-2,35))</f>
        <v>2012</v>
      </c>
      <c r="C1004">
        <f ca="1" t="shared" si="165"/>
        <v>0.20915328</v>
      </c>
      <c r="D1004">
        <f ca="1" t="shared" si="166"/>
        <v>5</v>
      </c>
      <c r="E1004">
        <f ca="1" t="shared" si="167"/>
        <v>1</v>
      </c>
      <c r="F1004">
        <f ca="1" t="shared" si="168"/>
        <v>0.356599370624</v>
      </c>
      <c r="G1004">
        <f ca="1" t="shared" si="169"/>
        <v>0.0434808753792</v>
      </c>
      <c r="H1004">
        <f ca="1" t="shared" si="170"/>
        <v>0.471232797504</v>
      </c>
      <c r="I1004">
        <f ca="1" t="shared" si="171"/>
        <v>966</v>
      </c>
      <c r="J1004">
        <f ca="1" t="shared" si="172"/>
        <v>36</v>
      </c>
      <c r="K1004">
        <f ca="1" t="shared" si="173"/>
        <v>22537</v>
      </c>
      <c r="L1004">
        <f ca="1" t="shared" si="174"/>
        <v>3401</v>
      </c>
      <c r="M1004">
        <f ca="1" t="shared" si="175"/>
        <v>0.017161026624</v>
      </c>
    </row>
    <row r="1005" spans="1:13">
      <c r="A1005" t="str">
        <f ca="1">OFFSET($N$2,(ROW(1005:1005)-2)/35,0)</f>
        <v>青海省</v>
      </c>
      <c r="B1005">
        <f ca="1">OFFSET($O$1,0,MOD(ROW(1005:1005)-2,35))</f>
        <v>2013</v>
      </c>
      <c r="C1005">
        <f ca="1" t="shared" si="165"/>
        <v>0.21934836</v>
      </c>
      <c r="D1005">
        <f ca="1" t="shared" si="166"/>
        <v>5</v>
      </c>
      <c r="E1005">
        <f ca="1" t="shared" si="167"/>
        <v>1</v>
      </c>
      <c r="F1005">
        <f ca="1" t="shared" si="168"/>
        <v>0.367620539748</v>
      </c>
      <c r="G1005">
        <f ca="1" t="shared" si="169"/>
        <v>0.0488894592186</v>
      </c>
      <c r="H1005">
        <f ca="1" t="shared" si="170"/>
        <v>0.459216759078</v>
      </c>
      <c r="I1005">
        <f ca="1" t="shared" si="171"/>
        <v>1115</v>
      </c>
      <c r="J1005">
        <f ca="1" t="shared" si="172"/>
        <v>42</v>
      </c>
      <c r="K1005">
        <f ca="1" t="shared" si="173"/>
        <v>22359</v>
      </c>
      <c r="L1005">
        <f ca="1" t="shared" si="174"/>
        <v>3739</v>
      </c>
      <c r="M1005">
        <f ca="1" t="shared" si="175"/>
        <v>0.0157488988932</v>
      </c>
    </row>
    <row r="1006" spans="1:13">
      <c r="A1006" t="str">
        <f ca="1">OFFSET($N$2,(ROW(1006:1006)-2)/35,0)</f>
        <v>青海省</v>
      </c>
      <c r="B1006">
        <f ca="1">OFFSET($O$1,0,MOD(ROW(1006:1006)-2,35))</f>
        <v>2014</v>
      </c>
      <c r="C1006">
        <f ca="1" t="shared" si="165"/>
        <v>0.2147712</v>
      </c>
      <c r="D1006">
        <f ca="1" t="shared" si="166"/>
        <v>5</v>
      </c>
      <c r="E1006">
        <f ca="1" t="shared" si="167"/>
        <v>1</v>
      </c>
      <c r="F1006">
        <f ca="1" t="shared" si="168"/>
        <v>0.39376151808</v>
      </c>
      <c r="G1006">
        <f ca="1" t="shared" si="169"/>
        <v>0.045030003648</v>
      </c>
      <c r="H1006">
        <f ca="1" t="shared" si="170"/>
        <v>0.49135355136</v>
      </c>
      <c r="I1006">
        <f ca="1" t="shared" si="171"/>
        <v>1269</v>
      </c>
      <c r="J1006">
        <f ca="1" t="shared" si="172"/>
        <v>41</v>
      </c>
      <c r="K1006">
        <f ca="1" t="shared" si="173"/>
        <v>22645</v>
      </c>
      <c r="L1006">
        <f ca="1" t="shared" si="174"/>
        <v>3140</v>
      </c>
      <c r="M1006">
        <f ca="1" t="shared" si="175"/>
        <v>0.017623204224</v>
      </c>
    </row>
    <row r="1007" spans="1:13">
      <c r="A1007" t="str">
        <f ca="1">OFFSET($N$2,(ROW(1007:1007)-2)/35,0)</f>
        <v>青海省</v>
      </c>
      <c r="B1007">
        <f ca="1">OFFSET($O$1,0,MOD(ROW(1007:1007)-2,35))</f>
        <v>2015</v>
      </c>
      <c r="C1007">
        <f ca="1" t="shared" si="165"/>
        <v>0.2284674</v>
      </c>
      <c r="D1007">
        <f ca="1" t="shared" si="166"/>
        <v>5</v>
      </c>
      <c r="E1007">
        <f ca="1" t="shared" si="167"/>
        <v>1</v>
      </c>
      <c r="F1007">
        <f ca="1" t="shared" si="168"/>
        <v>0.38456394326</v>
      </c>
      <c r="G1007">
        <f ca="1" t="shared" si="169"/>
        <v>0.050567831979</v>
      </c>
      <c r="H1007">
        <f ca="1" t="shared" si="170"/>
        <v>0.50734613181</v>
      </c>
      <c r="I1007">
        <f ca="1" t="shared" si="171"/>
        <v>992</v>
      </c>
      <c r="J1007">
        <f ca="1" t="shared" si="172"/>
        <v>47</v>
      </c>
      <c r="K1007">
        <f ca="1" t="shared" si="173"/>
        <v>21522</v>
      </c>
      <c r="L1007">
        <f ca="1" t="shared" si="174"/>
        <v>3200</v>
      </c>
      <c r="M1007">
        <f ca="1" t="shared" si="175"/>
        <v>0.016899733578</v>
      </c>
    </row>
    <row r="1008" spans="1:13">
      <c r="A1008" t="str">
        <f ca="1">OFFSET($N$2,(ROW(1008:1008)-2)/35,0)</f>
        <v>青海省</v>
      </c>
      <c r="B1008">
        <f ca="1">OFFSET($O$1,0,MOD(ROW(1008:1008)-2,35))</f>
        <v>2016</v>
      </c>
      <c r="C1008">
        <f ca="1" t="shared" si="165"/>
        <v>0.23680944</v>
      </c>
      <c r="D1008">
        <f ca="1" t="shared" si="166"/>
        <v>5</v>
      </c>
      <c r="E1008">
        <f ca="1" t="shared" si="167"/>
        <v>1</v>
      </c>
      <c r="F1008">
        <f ca="1" t="shared" si="168"/>
        <v>0.449440636176</v>
      </c>
      <c r="G1008">
        <f ca="1" t="shared" si="169"/>
        <v>0.0552440902104</v>
      </c>
      <c r="H1008">
        <f ca="1" t="shared" si="170"/>
        <v>0.507968089272</v>
      </c>
      <c r="I1008">
        <f ca="1" t="shared" si="171"/>
        <v>1140</v>
      </c>
      <c r="J1008">
        <f ca="1" t="shared" si="172"/>
        <v>38</v>
      </c>
      <c r="K1008">
        <f ca="1" t="shared" si="173"/>
        <v>24234</v>
      </c>
      <c r="L1008">
        <f ca="1" t="shared" si="174"/>
        <v>3717</v>
      </c>
      <c r="M1008">
        <f ca="1" t="shared" si="175"/>
        <v>0.0177427781424</v>
      </c>
    </row>
    <row r="1009" spans="1:13">
      <c r="A1009" t="str">
        <f ca="1">OFFSET($N$2,(ROW(1009:1009)-2)/35,0)</f>
        <v>青海省</v>
      </c>
      <c r="B1009">
        <f ca="1">OFFSET($O$1,0,MOD(ROW(1009:1009)-2,35))</f>
        <v>2017</v>
      </c>
      <c r="C1009">
        <f ca="1" t="shared" si="165"/>
        <v>0.22955688</v>
      </c>
      <c r="D1009">
        <f ca="1" t="shared" si="166"/>
        <v>5</v>
      </c>
      <c r="E1009">
        <f ca="1" t="shared" si="167"/>
        <v>1</v>
      </c>
      <c r="F1009">
        <f ca="1" t="shared" si="168"/>
        <v>0.385793292528</v>
      </c>
      <c r="G1009">
        <f ca="1" t="shared" si="169"/>
        <v>0.0532996641828</v>
      </c>
      <c r="H1009">
        <f ca="1" t="shared" si="170"/>
        <v>0.46720564002</v>
      </c>
      <c r="I1009">
        <f ca="1" t="shared" si="171"/>
        <v>1079</v>
      </c>
      <c r="J1009">
        <f ca="1" t="shared" si="172"/>
        <v>60</v>
      </c>
      <c r="K1009">
        <f ca="1" t="shared" si="173"/>
        <v>22799</v>
      </c>
      <c r="L1009">
        <f ca="1" t="shared" si="174"/>
        <v>4132</v>
      </c>
      <c r="M1009">
        <f ca="1" t="shared" si="175"/>
        <v>0.018592467588</v>
      </c>
    </row>
    <row r="1010" spans="1:13">
      <c r="A1010" t="str">
        <f ca="1">OFFSET($N$2,(ROW(1010:1010)-2)/35,0)</f>
        <v>青海省</v>
      </c>
      <c r="B1010">
        <f ca="1">OFFSET($O$1,0,MOD(ROW(1010:1010)-2,35))</f>
        <v>2018</v>
      </c>
      <c r="C1010">
        <f ca="1" t="shared" si="165"/>
        <v>0.25341288</v>
      </c>
      <c r="D1010">
        <f ca="1" t="shared" si="166"/>
        <v>5</v>
      </c>
      <c r="E1010">
        <f ca="1" t="shared" si="167"/>
        <v>1</v>
      </c>
      <c r="F1010">
        <f ca="1" t="shared" si="168"/>
        <v>0.501056393432</v>
      </c>
      <c r="G1010">
        <f ca="1" t="shared" si="169"/>
        <v>0.0554898183336</v>
      </c>
      <c r="H1010">
        <f ca="1" t="shared" si="170"/>
        <v>0.569203340412</v>
      </c>
      <c r="I1010">
        <f ca="1" t="shared" si="171"/>
        <v>1311</v>
      </c>
      <c r="J1010">
        <f ca="1" t="shared" si="172"/>
        <v>150</v>
      </c>
      <c r="K1010">
        <f ca="1" t="shared" si="173"/>
        <v>20291</v>
      </c>
      <c r="L1010">
        <f ca="1" t="shared" si="174"/>
        <v>4585</v>
      </c>
      <c r="M1010">
        <f ca="1" t="shared" si="175"/>
        <v>0.0187985294568</v>
      </c>
    </row>
    <row r="1011" spans="1:13">
      <c r="A1011" t="str">
        <f ca="1">OFFSET($N$2,(ROW(1011:1011)-2)/35,0)</f>
        <v>青海省</v>
      </c>
      <c r="B1011">
        <f ca="1">OFFSET($O$1,0,MOD(ROW(1011:1011)-2,35))</f>
        <v>2019</v>
      </c>
      <c r="C1011">
        <f ca="1" t="shared" si="165"/>
        <v>0.2332512</v>
      </c>
      <c r="D1011">
        <f ca="1" t="shared" si="166"/>
        <v>5</v>
      </c>
      <c r="E1011">
        <f ca="1" t="shared" si="167"/>
        <v>1</v>
      </c>
      <c r="F1011">
        <f ca="1" t="shared" si="168"/>
        <v>0.42713737248</v>
      </c>
      <c r="G1011">
        <f ca="1" t="shared" si="169"/>
        <v>0.04772319552</v>
      </c>
      <c r="H1011">
        <f ca="1" t="shared" si="170"/>
        <v>0.52937526096</v>
      </c>
      <c r="I1011">
        <f ca="1" t="shared" si="171"/>
        <v>1029</v>
      </c>
      <c r="J1011">
        <f ca="1" t="shared" si="172"/>
        <v>139</v>
      </c>
      <c r="K1011">
        <f ca="1" t="shared" si="173"/>
        <v>20886</v>
      </c>
      <c r="L1011">
        <f ca="1" t="shared" si="174"/>
        <v>2930</v>
      </c>
      <c r="M1011">
        <f ca="1" t="shared" si="175"/>
        <v>0.018376195968</v>
      </c>
    </row>
    <row r="1012" spans="1:13">
      <c r="A1012" t="str">
        <f ca="1">OFFSET($N$2,(ROW(1012:1012)-2)/35,0)</f>
        <v>青海省</v>
      </c>
      <c r="B1012">
        <f ca="1">OFFSET($O$1,0,MOD(ROW(1012:1012)-2,35))</f>
        <v>2020</v>
      </c>
      <c r="C1012">
        <f ca="1" t="shared" si="165"/>
        <v>0.2675568</v>
      </c>
      <c r="D1012">
        <f ca="1" t="shared" si="166"/>
        <v>5</v>
      </c>
      <c r="E1012">
        <f ca="1" t="shared" si="167"/>
        <v>2</v>
      </c>
      <c r="F1012">
        <f ca="1" t="shared" si="168"/>
        <v>0.4955151936</v>
      </c>
      <c r="G1012">
        <f ca="1" t="shared" si="169"/>
        <v>0.064111960416</v>
      </c>
      <c r="H1012">
        <f ca="1" t="shared" si="170"/>
        <v>0.57349462296</v>
      </c>
      <c r="I1012">
        <f ca="1" t="shared" si="171"/>
        <v>1248</v>
      </c>
      <c r="J1012">
        <f ca="1" t="shared" si="172"/>
        <v>261</v>
      </c>
      <c r="K1012">
        <f ca="1" t="shared" si="173"/>
        <v>25467</v>
      </c>
      <c r="L1012">
        <f ca="1" t="shared" si="174"/>
        <v>2818</v>
      </c>
      <c r="M1012">
        <f ca="1" t="shared" si="175"/>
        <v>0.0197036472</v>
      </c>
    </row>
    <row r="1013" spans="1:13">
      <c r="A1013" t="str">
        <f ca="1">OFFSET($N$2,(ROW(1013:1013)-2)/35,0)</f>
        <v>青海省</v>
      </c>
      <c r="B1013">
        <f ca="1">OFFSET($O$1,0,MOD(ROW(1013:1013)-2,35))</f>
        <v>2021</v>
      </c>
      <c r="C1013">
        <f ca="1" t="shared" si="165"/>
        <v>0.26618676</v>
      </c>
      <c r="D1013">
        <f ca="1" t="shared" si="166"/>
        <v>5</v>
      </c>
      <c r="E1013">
        <f ca="1" t="shared" si="167"/>
        <v>2</v>
      </c>
      <c r="F1013">
        <f ca="1" t="shared" si="168"/>
        <v>0.49479682238</v>
      </c>
      <c r="G1013">
        <f ca="1" t="shared" si="169"/>
        <v>0.0535328193036</v>
      </c>
      <c r="H1013">
        <f ca="1" t="shared" si="170"/>
        <v>0.595100429994</v>
      </c>
      <c r="I1013">
        <f ca="1" t="shared" si="171"/>
        <v>1263</v>
      </c>
      <c r="J1013">
        <f ca="1" t="shared" si="172"/>
        <v>151</v>
      </c>
      <c r="K1013">
        <f ca="1" t="shared" si="173"/>
        <v>21871</v>
      </c>
      <c r="L1013">
        <f ca="1" t="shared" si="174"/>
        <v>4772</v>
      </c>
      <c r="M1013">
        <f ca="1" t="shared" si="175"/>
        <v>0.0203073879204</v>
      </c>
    </row>
    <row r="1014" spans="1:13">
      <c r="A1014" t="str">
        <f ca="1">OFFSET($N$2,(ROW(1014:1014)-2)/35,0)</f>
        <v>青海省</v>
      </c>
      <c r="B1014">
        <f ca="1">OFFSET($O$1,0,MOD(ROW(1014:1014)-2,35))</f>
        <v>2022</v>
      </c>
      <c r="C1014">
        <f ca="1" t="shared" si="165"/>
        <v>0.27045648</v>
      </c>
      <c r="D1014">
        <f ca="1" t="shared" si="166"/>
        <v>6</v>
      </c>
      <c r="E1014">
        <f ca="1" t="shared" si="167"/>
        <v>2</v>
      </c>
      <c r="F1014">
        <f ca="1" t="shared" si="168"/>
        <v>0.460055487696</v>
      </c>
      <c r="G1014">
        <f ca="1" t="shared" si="169"/>
        <v>0.0658277549496</v>
      </c>
      <c r="H1014">
        <f ca="1" t="shared" si="170"/>
        <v>0.55801933236</v>
      </c>
      <c r="I1014">
        <f ca="1" t="shared" si="171"/>
        <v>1164</v>
      </c>
      <c r="J1014">
        <f ca="1" t="shared" si="172"/>
        <v>234</v>
      </c>
      <c r="K1014">
        <f ca="1" t="shared" si="173"/>
        <v>31210</v>
      </c>
      <c r="L1014">
        <f ca="1" t="shared" si="174"/>
        <v>5198</v>
      </c>
      <c r="M1014">
        <f ca="1" t="shared" si="175"/>
        <v>0.0215449495632</v>
      </c>
    </row>
    <row r="1015" spans="1:13">
      <c r="A1015" t="str">
        <f ca="1">OFFSET($N$2,(ROW(1015:1015)-2)/35,0)</f>
        <v>青海省</v>
      </c>
      <c r="B1015">
        <f ca="1">OFFSET($O$1,0,MOD(ROW(1015:1015)-2,35))</f>
        <v>2023</v>
      </c>
      <c r="C1015">
        <f ca="1" t="shared" si="165"/>
        <v>0.26988864</v>
      </c>
      <c r="D1015">
        <f ca="1" t="shared" si="166"/>
        <v>6</v>
      </c>
      <c r="E1015">
        <f ca="1" t="shared" si="167"/>
        <v>2</v>
      </c>
      <c r="F1015">
        <f ca="1" t="shared" si="168"/>
        <v>0.529656456</v>
      </c>
      <c r="G1015">
        <f ca="1" t="shared" si="169"/>
        <v>0.0543650181984</v>
      </c>
      <c r="H1015">
        <f ca="1" t="shared" si="170"/>
        <v>0.629461275072</v>
      </c>
      <c r="I1015">
        <f ca="1" t="shared" si="171"/>
        <v>1398</v>
      </c>
      <c r="J1015">
        <f ca="1" t="shared" si="172"/>
        <v>179</v>
      </c>
      <c r="K1015">
        <f ca="1" t="shared" si="173"/>
        <v>21778</v>
      </c>
      <c r="L1015">
        <f ca="1" t="shared" si="174"/>
        <v>3246</v>
      </c>
      <c r="M1015">
        <f ca="1" t="shared" si="175"/>
        <v>0.0221420495808</v>
      </c>
    </row>
    <row r="1016" spans="1:13">
      <c r="A1016" t="str">
        <f ca="1">OFFSET($N$2,(ROW(1016:1016)-2)/35,0)</f>
        <v>青海省</v>
      </c>
      <c r="B1016">
        <f ca="1">OFFSET($O$1,0,MOD(ROW(1016:1016)-2,35))</f>
        <v>2024</v>
      </c>
      <c r="C1016">
        <f ca="1" t="shared" si="165"/>
        <v>0.2881032</v>
      </c>
      <c r="D1016">
        <f ca="1" t="shared" si="166"/>
        <v>6</v>
      </c>
      <c r="E1016">
        <f ca="1" t="shared" si="167"/>
        <v>2</v>
      </c>
      <c r="F1016">
        <f ca="1" t="shared" si="168"/>
        <v>0.49739096792</v>
      </c>
      <c r="G1016">
        <f ca="1" t="shared" si="169"/>
        <v>0.070768229532</v>
      </c>
      <c r="H1016">
        <f ca="1" t="shared" si="170"/>
        <v>0.60104089584</v>
      </c>
      <c r="I1016">
        <f ca="1" t="shared" si="171"/>
        <v>1677</v>
      </c>
      <c r="J1016">
        <f ca="1" t="shared" si="172"/>
        <v>242</v>
      </c>
      <c r="K1016">
        <f ca="1" t="shared" si="173"/>
        <v>29819</v>
      </c>
      <c r="L1016">
        <f ca="1" t="shared" si="174"/>
        <v>4179</v>
      </c>
      <c r="M1016">
        <f ca="1" t="shared" si="175"/>
        <v>0.022351046256</v>
      </c>
    </row>
    <row r="1017" spans="1:13">
      <c r="A1017" t="str">
        <f ca="1">OFFSET($N$2,(ROW(1017:1017)-2)/35,0)</f>
        <v>宁夏回族自治区</v>
      </c>
      <c r="B1017">
        <f ca="1">OFFSET($O$1,0,MOD(ROW(1017:1017)-2,35))</f>
        <v>1990</v>
      </c>
      <c r="C1017">
        <f ca="1" t="shared" si="165"/>
        <v>0.06006</v>
      </c>
      <c r="D1017">
        <f ca="1" t="shared" si="166"/>
        <v>2</v>
      </c>
      <c r="E1017">
        <f ca="1" t="shared" si="167"/>
        <v>0</v>
      </c>
      <c r="F1017">
        <f ca="1" t="shared" si="168"/>
        <v>0.11394383</v>
      </c>
      <c r="G1017">
        <f ca="1" t="shared" si="169"/>
        <v>0.0146165019</v>
      </c>
      <c r="H1017">
        <f ca="1" t="shared" si="170"/>
        <v>0.140195055</v>
      </c>
      <c r="I1017">
        <f ca="1" t="shared" si="171"/>
        <v>351</v>
      </c>
      <c r="J1017">
        <f ca="1" t="shared" si="172"/>
        <v>10</v>
      </c>
      <c r="K1017">
        <f ca="1" t="shared" si="173"/>
        <v>4758</v>
      </c>
      <c r="L1017">
        <f ca="1" t="shared" si="174"/>
        <v>1125</v>
      </c>
      <c r="M1017">
        <f ca="1" t="shared" si="175"/>
        <v>0.0046312266</v>
      </c>
    </row>
    <row r="1018" spans="1:13">
      <c r="A1018" t="str">
        <f ca="1">OFFSET($N$2,(ROW(1018:1018)-2)/35,0)</f>
        <v>宁夏回族自治区</v>
      </c>
      <c r="B1018">
        <f ca="1">OFFSET($O$1,0,MOD(ROW(1018:1018)-2,35))</f>
        <v>1991</v>
      </c>
      <c r="C1018">
        <f ca="1" t="shared" si="165"/>
        <v>0.07258944</v>
      </c>
      <c r="D1018">
        <f ca="1" t="shared" si="166"/>
        <v>2</v>
      </c>
      <c r="E1018">
        <f ca="1" t="shared" si="167"/>
        <v>0</v>
      </c>
      <c r="F1018">
        <f ca="1" t="shared" si="168"/>
        <v>0.132918523584</v>
      </c>
      <c r="G1018">
        <f ca="1" t="shared" si="169"/>
        <v>0.016265478768</v>
      </c>
      <c r="H1018">
        <f ca="1" t="shared" si="170"/>
        <v>0.153160088928</v>
      </c>
      <c r="I1018">
        <f ca="1" t="shared" si="171"/>
        <v>377</v>
      </c>
      <c r="J1018">
        <f ca="1" t="shared" si="172"/>
        <v>9</v>
      </c>
      <c r="K1018">
        <f ca="1" t="shared" si="173"/>
        <v>7912</v>
      </c>
      <c r="L1018">
        <f ca="1" t="shared" si="174"/>
        <v>1141</v>
      </c>
      <c r="M1018">
        <f ca="1" t="shared" si="175"/>
        <v>0.006166991424</v>
      </c>
    </row>
    <row r="1019" spans="1:13">
      <c r="A1019" t="str">
        <f ca="1">OFFSET($N$2,(ROW(1019:1019)-2)/35,0)</f>
        <v>宁夏回族自治区</v>
      </c>
      <c r="B1019">
        <f ca="1">OFFSET($O$1,0,MOD(ROW(1019:1019)-2,35))</f>
        <v>1992</v>
      </c>
      <c r="C1019">
        <f ca="1" t="shared" si="165"/>
        <v>0.07740432</v>
      </c>
      <c r="D1019">
        <f ca="1" t="shared" si="166"/>
        <v>3</v>
      </c>
      <c r="E1019">
        <f ca="1" t="shared" si="167"/>
        <v>0</v>
      </c>
      <c r="F1019">
        <f ca="1" t="shared" si="168"/>
        <v>0.147793228464</v>
      </c>
      <c r="G1019">
        <f ca="1" t="shared" si="169"/>
        <v>0.0155636866224</v>
      </c>
      <c r="H1019">
        <f ca="1" t="shared" si="170"/>
        <v>0.154870563456</v>
      </c>
      <c r="I1019">
        <f ca="1" t="shared" si="171"/>
        <v>327</v>
      </c>
      <c r="J1019">
        <f ca="1" t="shared" si="172"/>
        <v>9</v>
      </c>
      <c r="K1019">
        <f ca="1" t="shared" si="173"/>
        <v>8923</v>
      </c>
      <c r="L1019">
        <f ca="1" t="shared" si="174"/>
        <v>1059</v>
      </c>
      <c r="M1019">
        <f ca="1" t="shared" si="175"/>
        <v>0.0058393819008</v>
      </c>
    </row>
    <row r="1020" spans="1:13">
      <c r="A1020" t="str">
        <f ca="1">OFFSET($N$2,(ROW(1020:1020)-2)/35,0)</f>
        <v>宁夏回族自治区</v>
      </c>
      <c r="B1020">
        <f ca="1">OFFSET($O$1,0,MOD(ROW(1020:1020)-2,35))</f>
        <v>1993</v>
      </c>
      <c r="C1020">
        <f ca="1" t="shared" si="165"/>
        <v>0.08025108</v>
      </c>
      <c r="D1020">
        <f ca="1" t="shared" si="166"/>
        <v>3</v>
      </c>
      <c r="E1020">
        <f ca="1" t="shared" si="167"/>
        <v>0</v>
      </c>
      <c r="F1020">
        <f ca="1" t="shared" si="168"/>
        <v>0.14410418932</v>
      </c>
      <c r="G1020">
        <f ca="1" t="shared" si="169"/>
        <v>0.0193978898022</v>
      </c>
      <c r="H1020">
        <f ca="1" t="shared" si="170"/>
        <v>0.192947671644</v>
      </c>
      <c r="I1020">
        <f ca="1" t="shared" si="171"/>
        <v>481</v>
      </c>
      <c r="J1020">
        <f ca="1" t="shared" si="172"/>
        <v>12</v>
      </c>
      <c r="K1020">
        <f ca="1" t="shared" si="173"/>
        <v>6598</v>
      </c>
      <c r="L1020">
        <f ca="1" t="shared" si="174"/>
        <v>897</v>
      </c>
      <c r="M1020">
        <f ca="1" t="shared" si="175"/>
        <v>0.0061226988264</v>
      </c>
    </row>
    <row r="1021" spans="1:13">
      <c r="A1021" t="str">
        <f ca="1">OFFSET($N$2,(ROW(1021:1021)-2)/35,0)</f>
        <v>宁夏回族自治区</v>
      </c>
      <c r="B1021">
        <f ca="1">OFFSET($O$1,0,MOD(ROW(1021:1021)-2,35))</f>
        <v>1994</v>
      </c>
      <c r="C1021">
        <f ca="1" t="shared" si="165"/>
        <v>0.08710632</v>
      </c>
      <c r="D1021">
        <f ca="1" t="shared" si="166"/>
        <v>3</v>
      </c>
      <c r="E1021">
        <f ca="1" t="shared" si="167"/>
        <v>0</v>
      </c>
      <c r="F1021">
        <f ca="1" t="shared" si="168"/>
        <v>0.166320807408</v>
      </c>
      <c r="G1021">
        <f ca="1" t="shared" si="169"/>
        <v>0.019714337874</v>
      </c>
      <c r="H1021">
        <f ca="1" t="shared" si="170"/>
        <v>0.184373592228</v>
      </c>
      <c r="I1021">
        <f ca="1" t="shared" si="171"/>
        <v>435</v>
      </c>
      <c r="J1021">
        <f ca="1" t="shared" si="172"/>
        <v>12</v>
      </c>
      <c r="K1021">
        <f ca="1" t="shared" si="173"/>
        <v>6520</v>
      </c>
      <c r="L1021">
        <f ca="1" t="shared" si="174"/>
        <v>1122</v>
      </c>
      <c r="M1021">
        <f ca="1" t="shared" si="175"/>
        <v>0.0062452742688</v>
      </c>
    </row>
    <row r="1022" spans="1:13">
      <c r="A1022" t="str">
        <f ca="1">OFFSET($N$2,(ROW(1022:1022)-2)/35,0)</f>
        <v>宁夏回族自治区</v>
      </c>
      <c r="B1022">
        <f ca="1">OFFSET($O$1,0,MOD(ROW(1022:1022)-2,35))</f>
        <v>1995</v>
      </c>
      <c r="C1022">
        <f ca="1" t="shared" si="165"/>
        <v>0.0937062</v>
      </c>
      <c r="D1022">
        <f ca="1" t="shared" si="166"/>
        <v>3</v>
      </c>
      <c r="E1022">
        <f ca="1" t="shared" si="167"/>
        <v>0</v>
      </c>
      <c r="F1022">
        <f ca="1" t="shared" si="168"/>
        <v>0.17311908096</v>
      </c>
      <c r="G1022">
        <f ca="1" t="shared" si="169"/>
        <v>0.021960516501</v>
      </c>
      <c r="H1022">
        <f ca="1" t="shared" si="170"/>
        <v>0.22303012662</v>
      </c>
      <c r="I1022">
        <f ca="1" t="shared" si="171"/>
        <v>398</v>
      </c>
      <c r="J1022">
        <f ca="1" t="shared" si="172"/>
        <v>17</v>
      </c>
      <c r="K1022">
        <f ca="1" t="shared" si="173"/>
        <v>7639</v>
      </c>
      <c r="L1022">
        <f ca="1" t="shared" si="174"/>
        <v>1245</v>
      </c>
      <c r="M1022">
        <f ca="1" t="shared" si="175"/>
        <v>0.007380166446</v>
      </c>
    </row>
    <row r="1023" spans="1:13">
      <c r="A1023" t="str">
        <f ca="1">OFFSET($N$2,(ROW(1023:1023)-2)/35,0)</f>
        <v>宁夏回族自治区</v>
      </c>
      <c r="B1023">
        <f ca="1">OFFSET($O$1,0,MOD(ROW(1023:1023)-2,35))</f>
        <v>1996</v>
      </c>
      <c r="C1023">
        <f ca="1" t="shared" si="165"/>
        <v>0.10206336</v>
      </c>
      <c r="D1023">
        <f ca="1" t="shared" si="166"/>
        <v>4</v>
      </c>
      <c r="E1023">
        <f ca="1" t="shared" si="167"/>
        <v>0</v>
      </c>
      <c r="F1023">
        <f ca="1" t="shared" si="168"/>
        <v>0.170745197056</v>
      </c>
      <c r="G1023">
        <f ca="1" t="shared" si="169"/>
        <v>0.0224968058112</v>
      </c>
      <c r="H1023">
        <f ca="1" t="shared" si="170"/>
        <v>0.23420989536</v>
      </c>
      <c r="I1023">
        <f ca="1" t="shared" si="171"/>
        <v>611</v>
      </c>
      <c r="J1023">
        <f ca="1" t="shared" si="172"/>
        <v>19</v>
      </c>
      <c r="K1023">
        <f ca="1" t="shared" si="173"/>
        <v>7429</v>
      </c>
      <c r="L1023">
        <f ca="1" t="shared" si="174"/>
        <v>1532</v>
      </c>
      <c r="M1023">
        <f ca="1" t="shared" si="175"/>
        <v>0.0074649141504</v>
      </c>
    </row>
    <row r="1024" spans="1:13">
      <c r="A1024" t="str">
        <f ca="1">OFFSET($N$2,(ROW(1024:1024)-2)/35,0)</f>
        <v>宁夏回族自治区</v>
      </c>
      <c r="B1024">
        <f ca="1">OFFSET($O$1,0,MOD(ROW(1024:1024)-2,35))</f>
        <v>1997</v>
      </c>
      <c r="C1024">
        <f ca="1" t="shared" si="165"/>
        <v>0.10762836</v>
      </c>
      <c r="D1024">
        <f ca="1" t="shared" si="166"/>
        <v>4</v>
      </c>
      <c r="E1024">
        <f ca="1" t="shared" si="167"/>
        <v>0</v>
      </c>
      <c r="F1024">
        <f ca="1" t="shared" si="168"/>
        <v>0.204339616684</v>
      </c>
      <c r="G1024">
        <f ca="1" t="shared" si="169"/>
        <v>0.0234775123086</v>
      </c>
      <c r="H1024">
        <f ca="1" t="shared" si="170"/>
        <v>0.266961384144</v>
      </c>
      <c r="I1024">
        <f ca="1" t="shared" si="171"/>
        <v>624</v>
      </c>
      <c r="J1024">
        <f ca="1" t="shared" si="172"/>
        <v>20</v>
      </c>
      <c r="K1024">
        <f ca="1" t="shared" si="173"/>
        <v>7721</v>
      </c>
      <c r="L1024">
        <f ca="1" t="shared" si="174"/>
        <v>1476</v>
      </c>
      <c r="M1024">
        <f ca="1" t="shared" si="175"/>
        <v>0.009086139906</v>
      </c>
    </row>
    <row r="1025" spans="1:13">
      <c r="A1025" t="str">
        <f ca="1">OFFSET($N$2,(ROW(1025:1025)-2)/35,0)</f>
        <v>宁夏回族自治区</v>
      </c>
      <c r="B1025">
        <f ca="1">OFFSET($O$1,0,MOD(ROW(1025:1025)-2,35))</f>
        <v>1998</v>
      </c>
      <c r="C1025">
        <f ca="1" t="shared" si="165"/>
        <v>0.1133244</v>
      </c>
      <c r="D1025">
        <f ca="1" t="shared" si="166"/>
        <v>4</v>
      </c>
      <c r="E1025">
        <f ca="1" t="shared" si="167"/>
        <v>0</v>
      </c>
      <c r="F1025">
        <f ca="1" t="shared" si="168"/>
        <v>0.19871811288</v>
      </c>
      <c r="G1025">
        <f ca="1" t="shared" si="169"/>
        <v>0.022822400916</v>
      </c>
      <c r="H1025">
        <f ca="1" t="shared" si="170"/>
        <v>0.2452340016</v>
      </c>
      <c r="I1025">
        <f ca="1" t="shared" si="171"/>
        <v>629</v>
      </c>
      <c r="J1025">
        <f ca="1" t="shared" si="172"/>
        <v>21</v>
      </c>
      <c r="K1025">
        <f ca="1" t="shared" si="173"/>
        <v>7981</v>
      </c>
      <c r="L1025">
        <f ca="1" t="shared" si="174"/>
        <v>1603</v>
      </c>
      <c r="M1025">
        <f ca="1" t="shared" si="175"/>
        <v>0.008919277848</v>
      </c>
    </row>
    <row r="1026" spans="1:13">
      <c r="A1026" t="str">
        <f ca="1">OFFSET($N$2,(ROW(1026:1026)-2)/35,0)</f>
        <v>宁夏回族自治区</v>
      </c>
      <c r="B1026">
        <f ca="1">OFFSET($O$1,0,MOD(ROW(1026:1026)-2,35))</f>
        <v>1999</v>
      </c>
      <c r="C1026">
        <f ca="1" t="shared" si="165"/>
        <v>0.12755232</v>
      </c>
      <c r="D1026">
        <f ca="1" t="shared" si="166"/>
        <v>4</v>
      </c>
      <c r="E1026">
        <f ca="1" t="shared" si="167"/>
        <v>0</v>
      </c>
      <c r="F1026">
        <f ca="1" t="shared" si="168"/>
        <v>0.218684200896</v>
      </c>
      <c r="G1026">
        <f ca="1" t="shared" si="169"/>
        <v>0.0283446765504</v>
      </c>
      <c r="H1026">
        <f ca="1" t="shared" si="170"/>
        <v>0.315672859152</v>
      </c>
      <c r="I1026">
        <f ca="1" t="shared" si="171"/>
        <v>762</v>
      </c>
      <c r="J1026">
        <f ca="1" t="shared" si="172"/>
        <v>18</v>
      </c>
      <c r="K1026">
        <f ca="1" t="shared" si="173"/>
        <v>8910</v>
      </c>
      <c r="L1026">
        <f ca="1" t="shared" si="174"/>
        <v>2501</v>
      </c>
      <c r="M1026">
        <f ca="1" t="shared" si="175"/>
        <v>0.0097429928544</v>
      </c>
    </row>
    <row r="1027" spans="1:13">
      <c r="A1027" t="str">
        <f ca="1">OFFSET($N$2,(ROW(1027:1027)-2)/35,0)</f>
        <v>宁夏回族自治区</v>
      </c>
      <c r="B1027">
        <f ca="1">OFFSET($O$1,0,MOD(ROW(1027:1027)-2,35))</f>
        <v>2000</v>
      </c>
      <c r="C1027">
        <f ca="1" t="shared" ref="C1027:C1086" si="176">IF(OR(A1027="北京市",A1027="上海市",A1027="广东省"),(B1027-1980)*RANDBETWEEN(15000,16000)/500000,IF(OR(A1027="西藏自治区",A1027="新疆维吾尔自治区",A1027="青海省",A1027="广西壮族自治区",A1027="内蒙古自治区",A1027="宁夏回族自治区",A1027="贵州省",A1027="甘肃省",A1027="陕西省",A1027="云南省"),(B1027-1980)*RANDBETWEEN(7000,8000)/500000,IF(OR(A1027="浙江省",A1027="江苏省",A1027="山东省",A1027="辽宁省"),(B1027-1980)*RANDBETWEEN(13000,14000)/500000,(B1027-1980)*RANDBETWEEN(10000,11000)/500000)))*0.42</f>
        <v>0.1271928</v>
      </c>
      <c r="D1027">
        <f ca="1" t="shared" ref="D1027:D1086" si="177">IF($B1027=1990,ROUND($C1027*RANDBETWEEN(10000,20000)/500,0),ROUND(D1026+RANDBETWEEN(0,5)/10,0))</f>
        <v>4</v>
      </c>
      <c r="E1027">
        <f ca="1" t="shared" ref="E1027:E1086" si="178">IF($B1027=1990,ROUND($C1027*RANDBETWEEN(10000,20000)/5000,0),ROUND(E1026+RANDBETWEEN(0,20)/40,0))</f>
        <v>0</v>
      </c>
      <c r="F1027">
        <f ca="1" t="shared" ref="F1027:F1086" si="179">$C1027*RANDBETWEEN(50000,60000)/30000</f>
        <v>0.23584512952</v>
      </c>
      <c r="G1027">
        <f ca="1" t="shared" ref="G1027:G1086" si="180">$C1027*RANDBETWEEN(40000,50000)/200000</f>
        <v>0.029145594156</v>
      </c>
      <c r="H1027">
        <f ca="1" t="shared" ref="H1027:H1086" si="181">$C1027*RANDBETWEEN(40000,50000)/20000</f>
        <v>0.27193184676</v>
      </c>
      <c r="I1027">
        <f ca="1" t="shared" ref="I1027:I1086" si="182">ROUND($C1027*RANDBETWEEN(20000,30000)/5,0)</f>
        <v>637</v>
      </c>
      <c r="J1027">
        <f ca="1" t="shared" ref="J1027:J1086" si="183">IF(B1027&lt;2015,ROUND($C1027*RANDBETWEEN(10000,20000)/100,0),IF(B1027&lt;2018,ROUND($C1027*RANDBETWEEN(10000,20000)/70,0),ROUND($C1027*RANDBETWEEN(10000,20000)/20,0)))</f>
        <v>20</v>
      </c>
      <c r="K1027">
        <f ca="1" t="shared" ref="K1027:K1086" si="184">ROUND($C1027*RANDBETWEEN(10000,20000)*6,0)</f>
        <v>9210</v>
      </c>
      <c r="L1027">
        <f ca="1" t="shared" ref="L1027:L1086" si="185">ROUND($C1027*RANDBETWEEN(10000,20000)*1,0)</f>
        <v>1704</v>
      </c>
      <c r="M1027">
        <f ca="1" t="shared" ref="M1027:M1086" si="186">$C1027*RANDBETWEEN(50000,60000)/700000</f>
        <v>0.0103162446</v>
      </c>
    </row>
    <row r="1028" spans="1:13">
      <c r="A1028" t="str">
        <f ca="1">OFFSET($N$2,(ROW(1028:1028)-2)/35,0)</f>
        <v>宁夏回族自治区</v>
      </c>
      <c r="B1028">
        <f ca="1">OFFSET($O$1,0,MOD(ROW(1028:1028)-2,35))</f>
        <v>2001</v>
      </c>
      <c r="C1028">
        <f ca="1" t="shared" si="176"/>
        <v>0.14030856</v>
      </c>
      <c r="D1028">
        <f ca="1" t="shared" si="177"/>
        <v>4</v>
      </c>
      <c r="E1028">
        <f ca="1" t="shared" si="178"/>
        <v>0</v>
      </c>
      <c r="F1028">
        <f ca="1" t="shared" si="179"/>
        <v>0.276206754264</v>
      </c>
      <c r="G1028">
        <f ca="1" t="shared" si="180"/>
        <v>0.0334958625288</v>
      </c>
      <c r="H1028">
        <f ca="1" t="shared" si="181"/>
        <v>0.341398788192</v>
      </c>
      <c r="I1028">
        <f ca="1" t="shared" si="182"/>
        <v>813</v>
      </c>
      <c r="J1028">
        <f ca="1" t="shared" si="183"/>
        <v>18</v>
      </c>
      <c r="K1028">
        <f ca="1" t="shared" si="184"/>
        <v>9380</v>
      </c>
      <c r="L1028">
        <f ca="1" t="shared" si="185"/>
        <v>2691</v>
      </c>
      <c r="M1028">
        <f ca="1" t="shared" si="186"/>
        <v>0.0116694629352</v>
      </c>
    </row>
    <row r="1029" spans="1:13">
      <c r="A1029" t="str">
        <f ca="1">OFFSET($N$2,(ROW(1029:1029)-2)/35,0)</f>
        <v>宁夏回族自治区</v>
      </c>
      <c r="B1029">
        <f ca="1">OFFSET($O$1,0,MOD(ROW(1029:1029)-2,35))</f>
        <v>2002</v>
      </c>
      <c r="C1029">
        <f ca="1" t="shared" si="176"/>
        <v>0.14236992</v>
      </c>
      <c r="D1029">
        <f ca="1" t="shared" si="177"/>
        <v>4</v>
      </c>
      <c r="E1029">
        <f ca="1" t="shared" si="178"/>
        <v>0</v>
      </c>
      <c r="F1029">
        <f ca="1" t="shared" si="179"/>
        <v>0.247230111744</v>
      </c>
      <c r="G1029">
        <f ca="1" t="shared" si="180"/>
        <v>0.0290078712</v>
      </c>
      <c r="H1029">
        <f ca="1" t="shared" si="181"/>
        <v>0.3486283416</v>
      </c>
      <c r="I1029">
        <f ca="1" t="shared" si="182"/>
        <v>805</v>
      </c>
      <c r="J1029">
        <f ca="1" t="shared" si="183"/>
        <v>15</v>
      </c>
      <c r="K1029">
        <f ca="1" t="shared" si="184"/>
        <v>16971</v>
      </c>
      <c r="L1029">
        <f ca="1" t="shared" si="185"/>
        <v>1780</v>
      </c>
      <c r="M1029">
        <f ca="1" t="shared" si="186"/>
        <v>0.0114927100992</v>
      </c>
    </row>
    <row r="1030" spans="1:13">
      <c r="A1030" t="str">
        <f ca="1">OFFSET($N$2,(ROW(1030:1030)-2)/35,0)</f>
        <v>宁夏回族自治区</v>
      </c>
      <c r="B1030">
        <f ca="1">OFFSET($O$1,0,MOD(ROW(1030:1030)-2,35))</f>
        <v>2003</v>
      </c>
      <c r="C1030">
        <f ca="1" t="shared" si="176"/>
        <v>0.13792548</v>
      </c>
      <c r="D1030">
        <f ca="1" t="shared" si="177"/>
        <v>5</v>
      </c>
      <c r="E1030">
        <f ca="1" t="shared" si="178"/>
        <v>0</v>
      </c>
      <c r="F1030">
        <f ca="1" t="shared" si="179"/>
        <v>0.237843295228</v>
      </c>
      <c r="G1030">
        <f ca="1" t="shared" si="180"/>
        <v>0.0296077731642</v>
      </c>
      <c r="H1030">
        <f ca="1" t="shared" si="181"/>
        <v>0.292684764834</v>
      </c>
      <c r="I1030">
        <f ca="1" t="shared" si="182"/>
        <v>594</v>
      </c>
      <c r="J1030">
        <f ca="1" t="shared" si="183"/>
        <v>21</v>
      </c>
      <c r="K1030">
        <f ca="1" t="shared" si="184"/>
        <v>15224</v>
      </c>
      <c r="L1030">
        <f ca="1" t="shared" si="185"/>
        <v>2517</v>
      </c>
      <c r="M1030">
        <f ca="1" t="shared" si="186"/>
        <v>0.0115461360036</v>
      </c>
    </row>
    <row r="1031" spans="1:13">
      <c r="A1031" t="str">
        <f ca="1">OFFSET($N$2,(ROW(1031:1031)-2)/35,0)</f>
        <v>宁夏回族自治区</v>
      </c>
      <c r="B1031">
        <f ca="1">OFFSET($O$1,0,MOD(ROW(1031:1031)-2,35))</f>
        <v>2004</v>
      </c>
      <c r="C1031">
        <f ca="1" t="shared" si="176"/>
        <v>0.144144</v>
      </c>
      <c r="D1031">
        <f ca="1" t="shared" si="177"/>
        <v>5</v>
      </c>
      <c r="E1031">
        <f ca="1" t="shared" si="178"/>
        <v>0</v>
      </c>
      <c r="F1031">
        <f ca="1" t="shared" si="179"/>
        <v>0.2798796</v>
      </c>
      <c r="G1031">
        <f ca="1" t="shared" si="180"/>
        <v>0.02946015072</v>
      </c>
      <c r="H1031">
        <f ca="1" t="shared" si="181"/>
        <v>0.353801448</v>
      </c>
      <c r="I1031">
        <f ca="1" t="shared" si="182"/>
        <v>618</v>
      </c>
      <c r="J1031">
        <f ca="1" t="shared" si="183"/>
        <v>28</v>
      </c>
      <c r="K1031">
        <f ca="1" t="shared" si="184"/>
        <v>13133</v>
      </c>
      <c r="L1031">
        <f ca="1" t="shared" si="185"/>
        <v>2798</v>
      </c>
      <c r="M1031">
        <f ca="1" t="shared" si="186"/>
        <v>0.01097903664</v>
      </c>
    </row>
    <row r="1032" spans="1:13">
      <c r="A1032" t="str">
        <f ca="1">OFFSET($N$2,(ROW(1032:1032)-2)/35,0)</f>
        <v>宁夏回族自治区</v>
      </c>
      <c r="B1032">
        <f ca="1">OFFSET($O$1,0,MOD(ROW(1032:1032)-2,35))</f>
        <v>2005</v>
      </c>
      <c r="C1032">
        <f ca="1" t="shared" si="176"/>
        <v>0.167349</v>
      </c>
      <c r="D1032">
        <f ca="1" t="shared" si="177"/>
        <v>5</v>
      </c>
      <c r="E1032">
        <f ca="1" t="shared" si="178"/>
        <v>0</v>
      </c>
      <c r="F1032">
        <f ca="1" t="shared" si="179"/>
        <v>0.3077324978</v>
      </c>
      <c r="G1032">
        <f ca="1" t="shared" si="180"/>
        <v>0.0405821325</v>
      </c>
      <c r="H1032">
        <f ca="1" t="shared" si="181"/>
        <v>0.41028117585</v>
      </c>
      <c r="I1032">
        <f ca="1" t="shared" si="182"/>
        <v>786</v>
      </c>
      <c r="J1032">
        <f ca="1" t="shared" si="183"/>
        <v>28</v>
      </c>
      <c r="K1032">
        <f ca="1" t="shared" si="184"/>
        <v>18083</v>
      </c>
      <c r="L1032">
        <f ca="1" t="shared" si="185"/>
        <v>1712</v>
      </c>
      <c r="M1032">
        <f ca="1" t="shared" si="186"/>
        <v>0.0120873792</v>
      </c>
    </row>
    <row r="1033" spans="1:13">
      <c r="A1033" t="str">
        <f ca="1">OFFSET($N$2,(ROW(1033:1033)-2)/35,0)</f>
        <v>宁夏回族自治区</v>
      </c>
      <c r="B1033">
        <f ca="1">OFFSET($O$1,0,MOD(ROW(1033:1033)-2,35))</f>
        <v>2006</v>
      </c>
      <c r="C1033">
        <f ca="1" t="shared" si="176"/>
        <v>0.1701336</v>
      </c>
      <c r="D1033">
        <f ca="1" t="shared" si="177"/>
        <v>5</v>
      </c>
      <c r="E1033">
        <f ca="1" t="shared" si="178"/>
        <v>0</v>
      </c>
      <c r="F1033">
        <f ca="1" t="shared" si="179"/>
        <v>0.33824828128</v>
      </c>
      <c r="G1033">
        <f ca="1" t="shared" si="180"/>
        <v>0.038616924528</v>
      </c>
      <c r="H1033">
        <f ca="1" t="shared" si="181"/>
        <v>0.354515889</v>
      </c>
      <c r="I1033">
        <f ca="1" t="shared" si="182"/>
        <v>962</v>
      </c>
      <c r="J1033">
        <f ca="1" t="shared" si="183"/>
        <v>26</v>
      </c>
      <c r="K1033">
        <f ca="1" t="shared" si="184"/>
        <v>17511</v>
      </c>
      <c r="L1033">
        <f ca="1" t="shared" si="185"/>
        <v>2797</v>
      </c>
      <c r="M1033">
        <f ca="1" t="shared" si="186"/>
        <v>0.014032133232</v>
      </c>
    </row>
    <row r="1034" spans="1:13">
      <c r="A1034" t="str">
        <f ca="1">OFFSET($N$2,(ROW(1034:1034)-2)/35,0)</f>
        <v>宁夏回族自治区</v>
      </c>
      <c r="B1034">
        <f ca="1">OFFSET($O$1,0,MOD(ROW(1034:1034)-2,35))</f>
        <v>2007</v>
      </c>
      <c r="C1034">
        <f ca="1" t="shared" si="176"/>
        <v>0.17969364</v>
      </c>
      <c r="D1034">
        <f ca="1" t="shared" si="177"/>
        <v>5</v>
      </c>
      <c r="E1034">
        <f ca="1" t="shared" si="178"/>
        <v>0</v>
      </c>
      <c r="F1034">
        <f ca="1" t="shared" si="179"/>
        <v>0.306311768532</v>
      </c>
      <c r="G1034">
        <f ca="1" t="shared" si="180"/>
        <v>0.0372522885084</v>
      </c>
      <c r="H1034">
        <f ca="1" t="shared" si="181"/>
        <v>0.429261151914</v>
      </c>
      <c r="I1034">
        <f ca="1" t="shared" si="182"/>
        <v>785</v>
      </c>
      <c r="J1034">
        <f ca="1" t="shared" si="183"/>
        <v>35</v>
      </c>
      <c r="K1034">
        <f ca="1" t="shared" si="184"/>
        <v>11502</v>
      </c>
      <c r="L1034">
        <f ca="1" t="shared" si="185"/>
        <v>2888</v>
      </c>
      <c r="M1034">
        <f ca="1" t="shared" si="186"/>
        <v>0.0136410576228</v>
      </c>
    </row>
    <row r="1035" spans="1:13">
      <c r="A1035" t="str">
        <f ca="1">OFFSET($N$2,(ROW(1035:1035)-2)/35,0)</f>
        <v>宁夏回族自治区</v>
      </c>
      <c r="B1035">
        <f ca="1">OFFSET($O$1,0,MOD(ROW(1035:1035)-2,35))</f>
        <v>2008</v>
      </c>
      <c r="C1035">
        <f ca="1" t="shared" si="176"/>
        <v>0.18677232</v>
      </c>
      <c r="D1035">
        <f ca="1" t="shared" si="177"/>
        <v>5</v>
      </c>
      <c r="E1035">
        <f ca="1" t="shared" si="178"/>
        <v>0</v>
      </c>
      <c r="F1035">
        <f ca="1" t="shared" si="179"/>
        <v>0.346313235744</v>
      </c>
      <c r="G1035">
        <f ca="1" t="shared" si="180"/>
        <v>0.0390858434064</v>
      </c>
      <c r="H1035">
        <f ca="1" t="shared" si="181"/>
        <v>0.43966204128</v>
      </c>
      <c r="I1035">
        <f ca="1" t="shared" si="182"/>
        <v>1104</v>
      </c>
      <c r="J1035">
        <f ca="1" t="shared" si="183"/>
        <v>24</v>
      </c>
      <c r="K1035">
        <f ca="1" t="shared" si="184"/>
        <v>19808</v>
      </c>
      <c r="L1035">
        <f ca="1" t="shared" si="185"/>
        <v>3334</v>
      </c>
      <c r="M1035">
        <f ca="1" t="shared" si="186"/>
        <v>0.01433477556</v>
      </c>
    </row>
    <row r="1036" spans="1:13">
      <c r="A1036" t="str">
        <f ca="1">OFFSET($N$2,(ROW(1036:1036)-2)/35,0)</f>
        <v>宁夏回族自治区</v>
      </c>
      <c r="B1036">
        <f ca="1">OFFSET($O$1,0,MOD(ROW(1036:1036)-2,35))</f>
        <v>2009</v>
      </c>
      <c r="C1036">
        <f ca="1" t="shared" si="176"/>
        <v>0.1841616</v>
      </c>
      <c r="D1036">
        <f ca="1" t="shared" si="177"/>
        <v>6</v>
      </c>
      <c r="E1036">
        <f ca="1" t="shared" si="178"/>
        <v>0</v>
      </c>
      <c r="F1036">
        <f ca="1" t="shared" si="179"/>
        <v>0.33522936048</v>
      </c>
      <c r="G1036">
        <f ca="1" t="shared" si="180"/>
        <v>0.042118678728</v>
      </c>
      <c r="H1036">
        <f ca="1" t="shared" si="181"/>
        <v>0.41251277592</v>
      </c>
      <c r="I1036">
        <f ca="1" t="shared" si="182"/>
        <v>950</v>
      </c>
      <c r="J1036">
        <f ca="1" t="shared" si="183"/>
        <v>22</v>
      </c>
      <c r="K1036">
        <f ca="1" t="shared" si="184"/>
        <v>19055</v>
      </c>
      <c r="L1036">
        <f ca="1" t="shared" si="185"/>
        <v>2161</v>
      </c>
      <c r="M1036">
        <f ca="1" t="shared" si="186"/>
        <v>0.014934979584</v>
      </c>
    </row>
    <row r="1037" spans="1:13">
      <c r="A1037" t="str">
        <f ca="1">OFFSET($N$2,(ROW(1037:1037)-2)/35,0)</f>
        <v>宁夏回族自治区</v>
      </c>
      <c r="B1037">
        <f ca="1">OFFSET($O$1,0,MOD(ROW(1037:1037)-2,35))</f>
        <v>2010</v>
      </c>
      <c r="C1037">
        <f ca="1" t="shared" si="176"/>
        <v>0.179046</v>
      </c>
      <c r="D1037">
        <f ca="1" t="shared" si="177"/>
        <v>6</v>
      </c>
      <c r="E1037">
        <f ca="1" t="shared" si="178"/>
        <v>0</v>
      </c>
      <c r="F1037">
        <f ca="1" t="shared" si="179"/>
        <v>0.329086548</v>
      </c>
      <c r="G1037">
        <f ca="1" t="shared" si="180"/>
        <v>0.04356278703</v>
      </c>
      <c r="H1037">
        <f ca="1" t="shared" si="181"/>
        <v>0.4057271883</v>
      </c>
      <c r="I1037">
        <f ca="1" t="shared" si="182"/>
        <v>789</v>
      </c>
      <c r="J1037">
        <f ca="1" t="shared" si="183"/>
        <v>21</v>
      </c>
      <c r="K1037">
        <f ca="1" t="shared" si="184"/>
        <v>10965</v>
      </c>
      <c r="L1037">
        <f ca="1" t="shared" si="185"/>
        <v>3385</v>
      </c>
      <c r="M1037">
        <f ca="1" t="shared" si="186"/>
        <v>0.01418786082</v>
      </c>
    </row>
    <row r="1038" spans="1:13">
      <c r="A1038" t="str">
        <f ca="1">OFFSET($N$2,(ROW(1038:1038)-2)/35,0)</f>
        <v>宁夏回族自治区</v>
      </c>
      <c r="B1038">
        <f ca="1">OFFSET($O$1,0,MOD(ROW(1038:1038)-2,35))</f>
        <v>2011</v>
      </c>
      <c r="C1038">
        <f ca="1" t="shared" si="176"/>
        <v>0.20503896</v>
      </c>
      <c r="D1038">
        <f ca="1" t="shared" si="177"/>
        <v>6</v>
      </c>
      <c r="E1038">
        <f ca="1" t="shared" si="178"/>
        <v>0</v>
      </c>
      <c r="F1038">
        <f ca="1" t="shared" si="179"/>
        <v>0.357150529792</v>
      </c>
      <c r="G1038">
        <f ca="1" t="shared" si="180"/>
        <v>0.0434005966632</v>
      </c>
      <c r="H1038">
        <f ca="1" t="shared" si="181"/>
        <v>0.501186981876</v>
      </c>
      <c r="I1038">
        <f ca="1" t="shared" si="182"/>
        <v>1014</v>
      </c>
      <c r="J1038">
        <f ca="1" t="shared" si="183"/>
        <v>26</v>
      </c>
      <c r="K1038">
        <f ca="1" t="shared" si="184"/>
        <v>16314</v>
      </c>
      <c r="L1038">
        <f ca="1" t="shared" si="185"/>
        <v>2090</v>
      </c>
      <c r="M1038">
        <f ca="1" t="shared" si="186"/>
        <v>0.016738501956</v>
      </c>
    </row>
    <row r="1039" spans="1:13">
      <c r="A1039" t="str">
        <f ca="1">OFFSET($N$2,(ROW(1039:1039)-2)/35,0)</f>
        <v>宁夏回族自治区</v>
      </c>
      <c r="B1039">
        <f ca="1">OFFSET($O$1,0,MOD(ROW(1039:1039)-2,35))</f>
        <v>2012</v>
      </c>
      <c r="C1039">
        <f ca="1" t="shared" si="176"/>
        <v>0.20875008</v>
      </c>
      <c r="D1039">
        <f ca="1" t="shared" si="177"/>
        <v>6</v>
      </c>
      <c r="E1039">
        <f ca="1" t="shared" si="178"/>
        <v>0</v>
      </c>
      <c r="F1039">
        <f ca="1" t="shared" si="179"/>
        <v>0.381685604608</v>
      </c>
      <c r="G1039">
        <f ca="1" t="shared" si="180"/>
        <v>0.0419681598336</v>
      </c>
      <c r="H1039">
        <f ca="1" t="shared" si="181"/>
        <v>0.52077926208</v>
      </c>
      <c r="I1039">
        <f ca="1" t="shared" si="182"/>
        <v>1103</v>
      </c>
      <c r="J1039">
        <f ca="1" t="shared" si="183"/>
        <v>25</v>
      </c>
      <c r="K1039">
        <f ca="1" t="shared" si="184"/>
        <v>18607</v>
      </c>
      <c r="L1039">
        <f ca="1" t="shared" si="185"/>
        <v>2904</v>
      </c>
      <c r="M1039">
        <f ca="1" t="shared" si="186"/>
        <v>0.016497220608</v>
      </c>
    </row>
    <row r="1040" spans="1:13">
      <c r="A1040" t="str">
        <f ca="1">OFFSET($N$2,(ROW(1040:1040)-2)/35,0)</f>
        <v>宁夏回族自治区</v>
      </c>
      <c r="B1040">
        <f ca="1">OFFSET($O$1,0,MOD(ROW(1040:1040)-2,35))</f>
        <v>2013</v>
      </c>
      <c r="C1040">
        <f ca="1" t="shared" si="176"/>
        <v>0.19631304</v>
      </c>
      <c r="D1040">
        <f ca="1" t="shared" si="177"/>
        <v>6</v>
      </c>
      <c r="E1040">
        <f ca="1" t="shared" si="178"/>
        <v>0</v>
      </c>
      <c r="F1040">
        <f ca="1" t="shared" si="179"/>
        <v>0.355287339792</v>
      </c>
      <c r="G1040">
        <f ca="1" t="shared" si="180"/>
        <v>0.0428786941968</v>
      </c>
      <c r="H1040">
        <f ca="1" t="shared" si="181"/>
        <v>0.477619810668</v>
      </c>
      <c r="I1040">
        <f ca="1" t="shared" si="182"/>
        <v>886</v>
      </c>
      <c r="J1040">
        <f ca="1" t="shared" si="183"/>
        <v>21</v>
      </c>
      <c r="K1040">
        <f ca="1" t="shared" si="184"/>
        <v>20728</v>
      </c>
      <c r="L1040">
        <f ca="1" t="shared" si="185"/>
        <v>3663</v>
      </c>
      <c r="M1040">
        <f ca="1" t="shared" si="186"/>
        <v>0.0146595360384</v>
      </c>
    </row>
    <row r="1041" spans="1:13">
      <c r="A1041" t="str">
        <f ca="1">OFFSET($N$2,(ROW(1041:1041)-2)/35,0)</f>
        <v>宁夏回族自治区</v>
      </c>
      <c r="B1041">
        <f ca="1">OFFSET($O$1,0,MOD(ROW(1041:1041)-2,35))</f>
        <v>2014</v>
      </c>
      <c r="C1041">
        <f ca="1" t="shared" si="176"/>
        <v>0.20214768</v>
      </c>
      <c r="D1041">
        <f ca="1" t="shared" si="177"/>
        <v>7</v>
      </c>
      <c r="E1041">
        <f ca="1" t="shared" si="178"/>
        <v>0</v>
      </c>
      <c r="F1041">
        <f ca="1" t="shared" si="179"/>
        <v>0.378528269056</v>
      </c>
      <c r="G1041">
        <f ca="1" t="shared" si="180"/>
        <v>0.0427067296152</v>
      </c>
      <c r="H1041">
        <f ca="1" t="shared" si="181"/>
        <v>0.460482307656</v>
      </c>
      <c r="I1041">
        <f ca="1" t="shared" si="182"/>
        <v>1112</v>
      </c>
      <c r="J1041">
        <f ca="1" t="shared" si="183"/>
        <v>26</v>
      </c>
      <c r="K1041">
        <f ca="1" t="shared" si="184"/>
        <v>15450</v>
      </c>
      <c r="L1041">
        <f ca="1" t="shared" si="185"/>
        <v>2234</v>
      </c>
      <c r="M1041">
        <f ca="1" t="shared" si="186"/>
        <v>0.0149895392544</v>
      </c>
    </row>
    <row r="1042" spans="1:13">
      <c r="A1042" t="str">
        <f ca="1">OFFSET($N$2,(ROW(1042:1042)-2)/35,0)</f>
        <v>宁夏回族自治区</v>
      </c>
      <c r="B1042">
        <f ca="1">OFFSET($O$1,0,MOD(ROW(1042:1042)-2,35))</f>
        <v>2015</v>
      </c>
      <c r="C1042">
        <f ca="1" t="shared" si="176"/>
        <v>0.2149728</v>
      </c>
      <c r="D1042">
        <f ca="1" t="shared" si="177"/>
        <v>7</v>
      </c>
      <c r="E1042">
        <f ca="1" t="shared" si="178"/>
        <v>0</v>
      </c>
      <c r="F1042">
        <f ca="1" t="shared" si="179"/>
        <v>0.39307059904</v>
      </c>
      <c r="G1042">
        <f ca="1" t="shared" si="180"/>
        <v>0.043791034224</v>
      </c>
      <c r="H1042">
        <f ca="1" t="shared" si="181"/>
        <v>0.48832146384</v>
      </c>
      <c r="I1042">
        <f ca="1" t="shared" si="182"/>
        <v>1271</v>
      </c>
      <c r="J1042">
        <f ca="1" t="shared" si="183"/>
        <v>52</v>
      </c>
      <c r="K1042">
        <f ca="1" t="shared" si="184"/>
        <v>15666</v>
      </c>
      <c r="L1042">
        <f ca="1" t="shared" si="185"/>
        <v>3370</v>
      </c>
      <c r="M1042">
        <f ca="1" t="shared" si="186"/>
        <v>0.01638246288</v>
      </c>
    </row>
    <row r="1043" spans="1:13">
      <c r="A1043" t="str">
        <f ca="1">OFFSET($N$2,(ROW(1043:1043)-2)/35,0)</f>
        <v>宁夏回族自治区</v>
      </c>
      <c r="B1043">
        <f ca="1">OFFSET($O$1,0,MOD(ROW(1043:1043)-2,35))</f>
        <v>2016</v>
      </c>
      <c r="C1043">
        <f ca="1" t="shared" si="176"/>
        <v>0.22667904</v>
      </c>
      <c r="D1043">
        <f ca="1" t="shared" si="177"/>
        <v>7</v>
      </c>
      <c r="E1043">
        <f ca="1" t="shared" si="178"/>
        <v>0</v>
      </c>
      <c r="F1043">
        <f ca="1" t="shared" si="179"/>
        <v>0.405445686912</v>
      </c>
      <c r="G1043">
        <f ca="1" t="shared" si="180"/>
        <v>0.0535121209728</v>
      </c>
      <c r="H1043">
        <f ca="1" t="shared" si="181"/>
        <v>0.550852735104</v>
      </c>
      <c r="I1043">
        <f ca="1" t="shared" si="182"/>
        <v>923</v>
      </c>
      <c r="J1043">
        <f ca="1" t="shared" si="183"/>
        <v>40</v>
      </c>
      <c r="K1043">
        <f ca="1" t="shared" si="184"/>
        <v>21144</v>
      </c>
      <c r="L1043">
        <f ca="1" t="shared" si="185"/>
        <v>4281</v>
      </c>
      <c r="M1043">
        <f ca="1" t="shared" si="186"/>
        <v>0.017269704576</v>
      </c>
    </row>
    <row r="1044" spans="1:13">
      <c r="A1044" t="str">
        <f ca="1">OFFSET($N$2,(ROW(1044:1044)-2)/35,0)</f>
        <v>宁夏回族自治区</v>
      </c>
      <c r="B1044">
        <f ca="1">OFFSET($O$1,0,MOD(ROW(1044:1044)-2,35))</f>
        <v>2017</v>
      </c>
      <c r="C1044">
        <f ca="1" t="shared" si="176"/>
        <v>0.24854676</v>
      </c>
      <c r="D1044">
        <f ca="1" t="shared" si="177"/>
        <v>7</v>
      </c>
      <c r="E1044">
        <f ca="1" t="shared" si="178"/>
        <v>0</v>
      </c>
      <c r="F1044">
        <f ca="1" t="shared" si="179"/>
        <v>0.481078823764</v>
      </c>
      <c r="G1044">
        <f ca="1" t="shared" si="180"/>
        <v>0.0602651328972</v>
      </c>
      <c r="H1044">
        <f ca="1" t="shared" si="181"/>
        <v>0.553526061858</v>
      </c>
      <c r="I1044">
        <f ca="1" t="shared" si="182"/>
        <v>1486</v>
      </c>
      <c r="J1044">
        <f ca="1" t="shared" si="183"/>
        <v>63</v>
      </c>
      <c r="K1044">
        <f ca="1" t="shared" si="184"/>
        <v>19026</v>
      </c>
      <c r="L1044">
        <f ca="1" t="shared" si="185"/>
        <v>4352</v>
      </c>
      <c r="M1044">
        <f ca="1" t="shared" si="186"/>
        <v>0.0188590180152</v>
      </c>
    </row>
    <row r="1045" spans="1:13">
      <c r="A1045" t="str">
        <f ca="1">OFFSET($N$2,(ROW(1045:1045)-2)/35,0)</f>
        <v>宁夏回族自治区</v>
      </c>
      <c r="B1045">
        <f ca="1">OFFSET($O$1,0,MOD(ROW(1045:1045)-2,35))</f>
        <v>2018</v>
      </c>
      <c r="C1045">
        <f ca="1" t="shared" si="176"/>
        <v>0.22921752</v>
      </c>
      <c r="D1045">
        <f ca="1" t="shared" si="177"/>
        <v>7</v>
      </c>
      <c r="E1045">
        <f ca="1" t="shared" si="178"/>
        <v>0</v>
      </c>
      <c r="F1045">
        <f ca="1" t="shared" si="179"/>
        <v>0.40388127024</v>
      </c>
      <c r="G1045">
        <f ca="1" t="shared" si="180"/>
        <v>0.0487350830148</v>
      </c>
      <c r="H1045">
        <f ca="1" t="shared" si="181"/>
        <v>0.541652460636</v>
      </c>
      <c r="I1045">
        <f ca="1" t="shared" si="182"/>
        <v>981</v>
      </c>
      <c r="J1045">
        <f ca="1" t="shared" si="183"/>
        <v>216</v>
      </c>
      <c r="K1045">
        <f ca="1" t="shared" si="184"/>
        <v>18948</v>
      </c>
      <c r="L1045">
        <f ca="1" t="shared" si="185"/>
        <v>2482</v>
      </c>
      <c r="M1045">
        <f ca="1" t="shared" si="186"/>
        <v>0.0188868687408</v>
      </c>
    </row>
    <row r="1046" spans="1:13">
      <c r="A1046" t="str">
        <f ca="1">OFFSET($N$2,(ROW(1046:1046)-2)/35,0)</f>
        <v>宁夏回族自治区</v>
      </c>
      <c r="B1046">
        <f ca="1">OFFSET($O$1,0,MOD(ROW(1046:1046)-2,35))</f>
        <v>2019</v>
      </c>
      <c r="C1046">
        <f ca="1" t="shared" si="176"/>
        <v>0.23059764</v>
      </c>
      <c r="D1046">
        <f ca="1" t="shared" si="177"/>
        <v>7</v>
      </c>
      <c r="E1046">
        <f ca="1" t="shared" si="178"/>
        <v>0</v>
      </c>
      <c r="F1046">
        <f ca="1" t="shared" si="179"/>
        <v>0.430118404716</v>
      </c>
      <c r="G1046">
        <f ca="1" t="shared" si="180"/>
        <v>0.048385149813</v>
      </c>
      <c r="H1046">
        <f ca="1" t="shared" si="181"/>
        <v>0.526062396132</v>
      </c>
      <c r="I1046">
        <f ca="1" t="shared" si="182"/>
        <v>1346</v>
      </c>
      <c r="J1046">
        <f ca="1" t="shared" si="183"/>
        <v>150</v>
      </c>
      <c r="K1046">
        <f ca="1" t="shared" si="184"/>
        <v>25993</v>
      </c>
      <c r="L1046">
        <f ca="1" t="shared" si="185"/>
        <v>3773</v>
      </c>
      <c r="M1046">
        <f ca="1" t="shared" si="186"/>
        <v>0.01724540922</v>
      </c>
    </row>
    <row r="1047" spans="1:13">
      <c r="A1047" t="str">
        <f ca="1">OFFSET($N$2,(ROW(1047:1047)-2)/35,0)</f>
        <v>宁夏回族自治区</v>
      </c>
      <c r="B1047">
        <f ca="1">OFFSET($O$1,0,MOD(ROW(1047:1047)-2,35))</f>
        <v>2020</v>
      </c>
      <c r="C1047">
        <f ca="1" t="shared" si="176"/>
        <v>0.2450784</v>
      </c>
      <c r="D1047">
        <f ca="1" t="shared" si="177"/>
        <v>7</v>
      </c>
      <c r="E1047">
        <f ca="1" t="shared" si="178"/>
        <v>0</v>
      </c>
      <c r="F1047">
        <f ca="1" t="shared" si="179"/>
        <v>0.42652627808</v>
      </c>
      <c r="G1047">
        <f ca="1" t="shared" si="180"/>
        <v>0.059213392224</v>
      </c>
      <c r="H1047">
        <f ca="1" t="shared" si="181"/>
        <v>0.520178904</v>
      </c>
      <c r="I1047">
        <f ca="1" t="shared" si="182"/>
        <v>1340</v>
      </c>
      <c r="J1047">
        <f ca="1" t="shared" si="183"/>
        <v>164</v>
      </c>
      <c r="K1047">
        <f ca="1" t="shared" si="184"/>
        <v>19196</v>
      </c>
      <c r="L1047">
        <f ca="1" t="shared" si="185"/>
        <v>4487</v>
      </c>
      <c r="M1047">
        <f ca="1" t="shared" si="186"/>
        <v>0.017638992672</v>
      </c>
    </row>
    <row r="1048" spans="1:13">
      <c r="A1048" t="str">
        <f ca="1">OFFSET($N$2,(ROW(1048:1048)-2)/35,0)</f>
        <v>宁夏回族自治区</v>
      </c>
      <c r="B1048">
        <f ca="1">OFFSET($O$1,0,MOD(ROW(1048:1048)-2,35))</f>
        <v>2021</v>
      </c>
      <c r="C1048">
        <f ca="1" t="shared" si="176"/>
        <v>0.27503784</v>
      </c>
      <c r="D1048">
        <f ca="1" t="shared" si="177"/>
        <v>7</v>
      </c>
      <c r="E1048">
        <f ca="1" t="shared" si="178"/>
        <v>0</v>
      </c>
      <c r="F1048">
        <f ca="1" t="shared" si="179"/>
        <v>0.469407081528</v>
      </c>
      <c r="G1048">
        <f ca="1" t="shared" si="180"/>
        <v>0.0683826581592</v>
      </c>
      <c r="H1048">
        <f ca="1" t="shared" si="181"/>
        <v>0.646641465624</v>
      </c>
      <c r="I1048">
        <f ca="1" t="shared" si="182"/>
        <v>1412</v>
      </c>
      <c r="J1048">
        <f ca="1" t="shared" si="183"/>
        <v>194</v>
      </c>
      <c r="K1048">
        <f ca="1" t="shared" si="184"/>
        <v>16822</v>
      </c>
      <c r="L1048">
        <f ca="1" t="shared" si="185"/>
        <v>4000</v>
      </c>
      <c r="M1048">
        <f ca="1" t="shared" si="186"/>
        <v>0.0206136931968</v>
      </c>
    </row>
    <row r="1049" spans="1:13">
      <c r="A1049" t="str">
        <f ca="1">OFFSET($N$2,(ROW(1049:1049)-2)/35,0)</f>
        <v>宁夏回族自治区</v>
      </c>
      <c r="B1049">
        <f ca="1">OFFSET($O$1,0,MOD(ROW(1049:1049)-2,35))</f>
        <v>2022</v>
      </c>
      <c r="C1049">
        <f ca="1" t="shared" si="176"/>
        <v>0.27596016</v>
      </c>
      <c r="D1049">
        <f ca="1" t="shared" si="177"/>
        <v>7</v>
      </c>
      <c r="E1049">
        <f ca="1" t="shared" si="178"/>
        <v>0</v>
      </c>
      <c r="F1049">
        <f ca="1" t="shared" si="179"/>
        <v>0.531701638944</v>
      </c>
      <c r="G1049">
        <f ca="1" t="shared" si="180"/>
        <v>0.0632624868792</v>
      </c>
      <c r="H1049">
        <f ca="1" t="shared" si="181"/>
        <v>0.567746635176</v>
      </c>
      <c r="I1049">
        <f ca="1" t="shared" si="182"/>
        <v>1373</v>
      </c>
      <c r="J1049">
        <f ca="1" t="shared" si="183"/>
        <v>145</v>
      </c>
      <c r="K1049">
        <f ca="1" t="shared" si="184"/>
        <v>27939</v>
      </c>
      <c r="L1049">
        <f ca="1" t="shared" si="185"/>
        <v>4617</v>
      </c>
      <c r="M1049">
        <f ca="1" t="shared" si="186"/>
        <v>0.0209087128656</v>
      </c>
    </row>
    <row r="1050" spans="1:13">
      <c r="A1050" t="str">
        <f ca="1">OFFSET($N$2,(ROW(1050:1050)-2)/35,0)</f>
        <v>宁夏回族自治区</v>
      </c>
      <c r="B1050">
        <f ca="1">OFFSET($O$1,0,MOD(ROW(1050:1050)-2,35))</f>
        <v>2023</v>
      </c>
      <c r="C1050">
        <f ca="1" t="shared" si="176"/>
        <v>0.2716224</v>
      </c>
      <c r="D1050">
        <f ca="1" t="shared" si="177"/>
        <v>7</v>
      </c>
      <c r="E1050">
        <f ca="1" t="shared" si="178"/>
        <v>0</v>
      </c>
      <c r="F1050">
        <f ca="1" t="shared" si="179"/>
        <v>0.4658776864</v>
      </c>
      <c r="G1050">
        <f ca="1" t="shared" si="180"/>
        <v>0.061333696032</v>
      </c>
      <c r="H1050">
        <f ca="1" t="shared" si="181"/>
        <v>0.5980446192</v>
      </c>
      <c r="I1050">
        <f ca="1" t="shared" si="182"/>
        <v>1397</v>
      </c>
      <c r="J1050">
        <f ca="1" t="shared" si="183"/>
        <v>206</v>
      </c>
      <c r="K1050">
        <f ca="1" t="shared" si="184"/>
        <v>25280</v>
      </c>
      <c r="L1050">
        <f ca="1" t="shared" si="185"/>
        <v>5002</v>
      </c>
      <c r="M1050">
        <f ca="1" t="shared" si="186"/>
        <v>0.02232736128</v>
      </c>
    </row>
    <row r="1051" spans="1:13">
      <c r="A1051" t="str">
        <f ca="1">OFFSET($N$2,(ROW(1051:1051)-2)/35,0)</f>
        <v>宁夏回族自治区</v>
      </c>
      <c r="B1051">
        <f ca="1">OFFSET($O$1,0,MOD(ROW(1051:1051)-2,35))</f>
        <v>2024</v>
      </c>
      <c r="C1051">
        <f ca="1" t="shared" si="176"/>
        <v>0.26829264</v>
      </c>
      <c r="D1051">
        <f ca="1" t="shared" si="177"/>
        <v>7</v>
      </c>
      <c r="E1051">
        <f ca="1" t="shared" si="178"/>
        <v>0</v>
      </c>
      <c r="F1051">
        <f ca="1" t="shared" si="179"/>
        <v>0.51910154296</v>
      </c>
      <c r="G1051">
        <f ca="1" t="shared" si="180"/>
        <v>0.0666895015248</v>
      </c>
      <c r="H1051">
        <f ca="1" t="shared" si="181"/>
        <v>0.54671332716</v>
      </c>
      <c r="I1051">
        <f ca="1" t="shared" si="182"/>
        <v>1540</v>
      </c>
      <c r="J1051">
        <f ca="1" t="shared" si="183"/>
        <v>173</v>
      </c>
      <c r="K1051">
        <f ca="1" t="shared" si="184"/>
        <v>17719</v>
      </c>
      <c r="L1051">
        <f ca="1" t="shared" si="185"/>
        <v>5155</v>
      </c>
      <c r="M1051">
        <f ca="1" t="shared" si="186"/>
        <v>0.0199391257296</v>
      </c>
    </row>
    <row r="1052" spans="1:13">
      <c r="A1052" t="str">
        <f ca="1">OFFSET($N$2,(ROW(1052:1052)-2)/35,0)</f>
        <v>新疆维吾尔自治区</v>
      </c>
      <c r="B1052">
        <f ca="1">OFFSET($O$1,0,MOD(ROW(1052:1052)-2,35))</f>
        <v>1990</v>
      </c>
      <c r="C1052">
        <f ca="1" t="shared" si="176"/>
        <v>0.0604464</v>
      </c>
      <c r="D1052">
        <f ca="1" t="shared" si="177"/>
        <v>1</v>
      </c>
      <c r="E1052">
        <f ca="1" t="shared" si="178"/>
        <v>0</v>
      </c>
      <c r="F1052">
        <f ca="1" t="shared" si="179"/>
        <v>0.10493293552</v>
      </c>
      <c r="G1052">
        <f ca="1" t="shared" si="180"/>
        <v>0.01331785308</v>
      </c>
      <c r="H1052">
        <f ca="1" t="shared" si="181"/>
        <v>0.13153741104</v>
      </c>
      <c r="I1052">
        <f ca="1" t="shared" si="182"/>
        <v>246</v>
      </c>
      <c r="J1052">
        <f ca="1" t="shared" si="183"/>
        <v>9</v>
      </c>
      <c r="K1052">
        <f ca="1" t="shared" si="184"/>
        <v>4226</v>
      </c>
      <c r="L1052">
        <f ca="1" t="shared" si="185"/>
        <v>895</v>
      </c>
      <c r="M1052">
        <f ca="1" t="shared" si="186"/>
        <v>0.004476833088</v>
      </c>
    </row>
    <row r="1053" spans="1:13">
      <c r="A1053" t="str">
        <f ca="1">OFFSET($N$2,(ROW(1053:1053)-2)/35,0)</f>
        <v>新疆维吾尔自治区</v>
      </c>
      <c r="B1053">
        <f ca="1">OFFSET($O$1,0,MOD(ROW(1053:1053)-2,35))</f>
        <v>1991</v>
      </c>
      <c r="C1053">
        <f ca="1" t="shared" si="176"/>
        <v>0.06963264</v>
      </c>
      <c r="D1053">
        <f ca="1" t="shared" si="177"/>
        <v>1</v>
      </c>
      <c r="E1053">
        <f ca="1" t="shared" si="178"/>
        <v>1</v>
      </c>
      <c r="F1053">
        <f ca="1" t="shared" si="179"/>
        <v>0.127611097152</v>
      </c>
      <c r="G1053">
        <f ca="1" t="shared" si="180"/>
        <v>0.0167616209376</v>
      </c>
      <c r="H1053">
        <f ca="1" t="shared" si="181"/>
        <v>0.164722973184</v>
      </c>
      <c r="I1053">
        <f ca="1" t="shared" si="182"/>
        <v>305</v>
      </c>
      <c r="J1053">
        <f ca="1" t="shared" si="183"/>
        <v>13</v>
      </c>
      <c r="K1053">
        <f ca="1" t="shared" si="184"/>
        <v>7521</v>
      </c>
      <c r="L1053">
        <f ca="1" t="shared" si="185"/>
        <v>1276</v>
      </c>
      <c r="M1053">
        <f ca="1" t="shared" si="186"/>
        <v>0.0052639291584</v>
      </c>
    </row>
    <row r="1054" spans="1:13">
      <c r="A1054" t="str">
        <f ca="1">OFFSET($N$2,(ROW(1054:1054)-2)/35,0)</f>
        <v>新疆维吾尔自治区</v>
      </c>
      <c r="B1054">
        <f ca="1">OFFSET($O$1,0,MOD(ROW(1054:1054)-2,35))</f>
        <v>1992</v>
      </c>
      <c r="C1054">
        <f ca="1" t="shared" si="176"/>
        <v>0.07905744</v>
      </c>
      <c r="D1054">
        <f ca="1" t="shared" si="177"/>
        <v>1</v>
      </c>
      <c r="E1054">
        <f ca="1" t="shared" si="178"/>
        <v>1</v>
      </c>
      <c r="F1054">
        <f ca="1" t="shared" si="179"/>
        <v>0.144733090656</v>
      </c>
      <c r="G1054">
        <f ca="1" t="shared" si="180"/>
        <v>0.0194734286208</v>
      </c>
      <c r="H1054">
        <f ca="1" t="shared" si="181"/>
        <v>0.16339196412</v>
      </c>
      <c r="I1054">
        <f ca="1" t="shared" si="182"/>
        <v>387</v>
      </c>
      <c r="J1054">
        <f ca="1" t="shared" si="183"/>
        <v>15</v>
      </c>
      <c r="K1054">
        <f ca="1" t="shared" si="184"/>
        <v>5300</v>
      </c>
      <c r="L1054">
        <f ca="1" t="shared" si="185"/>
        <v>1553</v>
      </c>
      <c r="M1054">
        <f ca="1" t="shared" si="186"/>
        <v>0.0066160912752</v>
      </c>
    </row>
    <row r="1055" spans="1:13">
      <c r="A1055" t="str">
        <f ca="1">OFFSET($N$2,(ROW(1055:1055)-2)/35,0)</f>
        <v>新疆维吾尔自治区</v>
      </c>
      <c r="B1055">
        <f ca="1">OFFSET($O$1,0,MOD(ROW(1055:1055)-2,35))</f>
        <v>1993</v>
      </c>
      <c r="C1055">
        <f ca="1" t="shared" si="176"/>
        <v>0.07812168</v>
      </c>
      <c r="D1055">
        <f ca="1" t="shared" si="177"/>
        <v>1</v>
      </c>
      <c r="E1055">
        <f ca="1" t="shared" si="178"/>
        <v>2</v>
      </c>
      <c r="F1055">
        <f ca="1" t="shared" si="179"/>
        <v>0.150548289528</v>
      </c>
      <c r="G1055">
        <f ca="1" t="shared" si="180"/>
        <v>0.0166785880716</v>
      </c>
      <c r="H1055">
        <f ca="1" t="shared" si="181"/>
        <v>0.187870922148</v>
      </c>
      <c r="I1055">
        <f ca="1" t="shared" si="182"/>
        <v>337</v>
      </c>
      <c r="J1055">
        <f ca="1" t="shared" si="183"/>
        <v>11</v>
      </c>
      <c r="K1055">
        <f ca="1" t="shared" si="184"/>
        <v>9030</v>
      </c>
      <c r="L1055">
        <f ca="1" t="shared" si="185"/>
        <v>1137</v>
      </c>
      <c r="M1055">
        <f ca="1" t="shared" si="186"/>
        <v>0.0065135624736</v>
      </c>
    </row>
    <row r="1056" spans="1:13">
      <c r="A1056" t="str">
        <f ca="1">OFFSET($N$2,(ROW(1056:1056)-2)/35,0)</f>
        <v>新疆维吾尔自治区</v>
      </c>
      <c r="B1056">
        <f ca="1">OFFSET($O$1,0,MOD(ROW(1056:1056)-2,35))</f>
        <v>1994</v>
      </c>
      <c r="C1056">
        <f ca="1" t="shared" si="176"/>
        <v>0.08424864</v>
      </c>
      <c r="D1056">
        <f ca="1" t="shared" si="177"/>
        <v>1</v>
      </c>
      <c r="E1056">
        <f ca="1" t="shared" si="178"/>
        <v>2</v>
      </c>
      <c r="F1056">
        <f ca="1" t="shared" si="179"/>
        <v>0.160973876448</v>
      </c>
      <c r="G1056">
        <f ca="1" t="shared" si="180"/>
        <v>0.0187988202864</v>
      </c>
      <c r="H1056">
        <f ca="1" t="shared" si="181"/>
        <v>0.191282324688</v>
      </c>
      <c r="I1056">
        <f ca="1" t="shared" si="182"/>
        <v>478</v>
      </c>
      <c r="J1056">
        <f ca="1" t="shared" si="183"/>
        <v>13</v>
      </c>
      <c r="K1056">
        <f ca="1" t="shared" si="184"/>
        <v>9954</v>
      </c>
      <c r="L1056">
        <f ca="1" t="shared" si="185"/>
        <v>862</v>
      </c>
      <c r="M1056">
        <f ca="1" t="shared" si="186"/>
        <v>0.0061497896544</v>
      </c>
    </row>
    <row r="1057" spans="1:13">
      <c r="A1057" t="str">
        <f ca="1">OFFSET($N$2,(ROW(1057:1057)-2)/35,0)</f>
        <v>新疆维吾尔自治区</v>
      </c>
      <c r="B1057">
        <f ca="1">OFFSET($O$1,0,MOD(ROW(1057:1057)-2,35))</f>
        <v>1995</v>
      </c>
      <c r="C1057">
        <f ca="1" t="shared" si="176"/>
        <v>0.0993636</v>
      </c>
      <c r="D1057">
        <f ca="1" t="shared" si="177"/>
        <v>1</v>
      </c>
      <c r="E1057">
        <f ca="1" t="shared" si="178"/>
        <v>2</v>
      </c>
      <c r="F1057">
        <f ca="1" t="shared" si="179"/>
        <v>0.18060327936</v>
      </c>
      <c r="G1057">
        <f ca="1" t="shared" si="180"/>
        <v>0.020030708124</v>
      </c>
      <c r="H1057">
        <f ca="1" t="shared" si="181"/>
        <v>0.24705268686</v>
      </c>
      <c r="I1057">
        <f ca="1" t="shared" si="182"/>
        <v>508</v>
      </c>
      <c r="J1057">
        <f ca="1" t="shared" si="183"/>
        <v>16</v>
      </c>
      <c r="K1057">
        <f ca="1" t="shared" si="184"/>
        <v>7784</v>
      </c>
      <c r="L1057">
        <f ca="1" t="shared" si="185"/>
        <v>1519</v>
      </c>
      <c r="M1057">
        <f ca="1" t="shared" si="186"/>
        <v>0.008069176008</v>
      </c>
    </row>
    <row r="1058" spans="1:13">
      <c r="A1058" t="str">
        <f ca="1">OFFSET($N$2,(ROW(1058:1058)-2)/35,0)</f>
        <v>新疆维吾尔自治区</v>
      </c>
      <c r="B1058">
        <f ca="1">OFFSET($O$1,0,MOD(ROW(1058:1058)-2,35))</f>
        <v>1996</v>
      </c>
      <c r="C1058">
        <f ca="1" t="shared" si="176"/>
        <v>0.10605504</v>
      </c>
      <c r="D1058">
        <f ca="1" t="shared" si="177"/>
        <v>1</v>
      </c>
      <c r="E1058">
        <f ca="1" t="shared" si="178"/>
        <v>2</v>
      </c>
      <c r="F1058">
        <f ca="1" t="shared" si="179"/>
        <v>0.204534214976</v>
      </c>
      <c r="G1058">
        <f ca="1" t="shared" si="180"/>
        <v>0.023507099616</v>
      </c>
      <c r="H1058">
        <f ca="1" t="shared" si="181"/>
        <v>0.244674280032</v>
      </c>
      <c r="I1058">
        <f ca="1" t="shared" si="182"/>
        <v>517</v>
      </c>
      <c r="J1058">
        <f ca="1" t="shared" si="183"/>
        <v>18</v>
      </c>
      <c r="K1058">
        <f ca="1" t="shared" si="184"/>
        <v>10809</v>
      </c>
      <c r="L1058">
        <f ca="1" t="shared" si="185"/>
        <v>1360</v>
      </c>
      <c r="M1058">
        <f ca="1" t="shared" si="186"/>
        <v>0.0083547130368</v>
      </c>
    </row>
    <row r="1059" spans="1:13">
      <c r="A1059" t="str">
        <f ca="1">OFFSET($N$2,(ROW(1059:1059)-2)/35,0)</f>
        <v>新疆维吾尔自治区</v>
      </c>
      <c r="B1059">
        <f ca="1">OFFSET($O$1,0,MOD(ROW(1059:1059)-2,35))</f>
        <v>1997</v>
      </c>
      <c r="C1059">
        <f ca="1" t="shared" si="176"/>
        <v>0.1020306</v>
      </c>
      <c r="D1059">
        <f ca="1" t="shared" si="177"/>
        <v>1</v>
      </c>
      <c r="E1059">
        <f ca="1" t="shared" si="178"/>
        <v>2</v>
      </c>
      <c r="F1059">
        <f ca="1" t="shared" si="179"/>
        <v>0.19342280944</v>
      </c>
      <c r="G1059">
        <f ca="1" t="shared" si="180"/>
        <v>0.02262528555</v>
      </c>
      <c r="H1059">
        <f ca="1" t="shared" si="181"/>
        <v>0.23029836879</v>
      </c>
      <c r="I1059">
        <f ca="1" t="shared" si="182"/>
        <v>533</v>
      </c>
      <c r="J1059">
        <f ca="1" t="shared" si="183"/>
        <v>14</v>
      </c>
      <c r="K1059">
        <f ca="1" t="shared" si="184"/>
        <v>7684</v>
      </c>
      <c r="L1059">
        <f ca="1" t="shared" si="185"/>
        <v>1556</v>
      </c>
      <c r="M1059">
        <f ca="1" t="shared" si="186"/>
        <v>0.00733527135</v>
      </c>
    </row>
    <row r="1060" spans="1:13">
      <c r="A1060" t="str">
        <f ca="1">OFFSET($N$2,(ROW(1060:1060)-2)/35,0)</f>
        <v>新疆维吾尔自治区</v>
      </c>
      <c r="B1060">
        <f ca="1">OFFSET($O$1,0,MOD(ROW(1060:1060)-2,35))</f>
        <v>1998</v>
      </c>
      <c r="C1060">
        <f ca="1" t="shared" si="176"/>
        <v>0.10671696</v>
      </c>
      <c r="D1060">
        <f ca="1" t="shared" si="177"/>
        <v>1</v>
      </c>
      <c r="E1060">
        <f ca="1" t="shared" si="178"/>
        <v>2</v>
      </c>
      <c r="F1060">
        <f ca="1" t="shared" si="179"/>
        <v>0.207169634448</v>
      </c>
      <c r="G1060">
        <f ca="1" t="shared" si="180"/>
        <v>0.0254407896792</v>
      </c>
      <c r="H1060">
        <f ca="1" t="shared" si="181"/>
        <v>0.244440532728</v>
      </c>
      <c r="I1060">
        <f ca="1" t="shared" si="182"/>
        <v>516</v>
      </c>
      <c r="J1060">
        <f ca="1" t="shared" si="183"/>
        <v>21</v>
      </c>
      <c r="K1060">
        <f ca="1" t="shared" si="184"/>
        <v>11999</v>
      </c>
      <c r="L1060">
        <f ca="1" t="shared" si="185"/>
        <v>1335</v>
      </c>
      <c r="M1060">
        <f ca="1" t="shared" si="186"/>
        <v>0.0090881687664</v>
      </c>
    </row>
    <row r="1061" spans="1:13">
      <c r="A1061" t="str">
        <f ca="1">OFFSET($N$2,(ROW(1061:1061)-2)/35,0)</f>
        <v>新疆维吾尔自治区</v>
      </c>
      <c r="B1061">
        <f ca="1">OFFSET($O$1,0,MOD(ROW(1061:1061)-2,35))</f>
        <v>1999</v>
      </c>
      <c r="C1061">
        <f ca="1" t="shared" si="176"/>
        <v>0.12685008</v>
      </c>
      <c r="D1061">
        <f ca="1" t="shared" si="177"/>
        <v>1</v>
      </c>
      <c r="E1061">
        <f ca="1" t="shared" si="178"/>
        <v>2</v>
      </c>
      <c r="F1061">
        <f ca="1" t="shared" si="179"/>
        <v>0.212829064224</v>
      </c>
      <c r="G1061">
        <f ca="1" t="shared" si="180"/>
        <v>0.0281505697536</v>
      </c>
      <c r="H1061">
        <f ca="1" t="shared" si="181"/>
        <v>0.262497213048</v>
      </c>
      <c r="I1061">
        <f ca="1" t="shared" si="182"/>
        <v>691</v>
      </c>
      <c r="J1061">
        <f ca="1" t="shared" si="183"/>
        <v>19</v>
      </c>
      <c r="K1061">
        <f ca="1" t="shared" si="184"/>
        <v>8169</v>
      </c>
      <c r="L1061">
        <f ca="1" t="shared" si="185"/>
        <v>2136</v>
      </c>
      <c r="M1061">
        <f ca="1" t="shared" si="186"/>
        <v>0.0095124874992</v>
      </c>
    </row>
    <row r="1062" spans="1:13">
      <c r="A1062" t="str">
        <f ca="1">OFFSET($N$2,(ROW(1062:1062)-2)/35,0)</f>
        <v>新疆维吾尔自治区</v>
      </c>
      <c r="B1062">
        <f ca="1">OFFSET($O$1,0,MOD(ROW(1062:1062)-2,35))</f>
        <v>2000</v>
      </c>
      <c r="C1062">
        <f ca="1" t="shared" si="176"/>
        <v>0.1221528</v>
      </c>
      <c r="D1062">
        <f ca="1" t="shared" si="177"/>
        <v>1</v>
      </c>
      <c r="E1062">
        <f ca="1" t="shared" si="178"/>
        <v>2</v>
      </c>
      <c r="F1062">
        <f ca="1" t="shared" si="179"/>
        <v>0.2382183188</v>
      </c>
      <c r="G1062">
        <f ca="1" t="shared" si="180"/>
        <v>0.028591695132</v>
      </c>
      <c r="H1062">
        <f ca="1" t="shared" si="181"/>
        <v>0.29052211188</v>
      </c>
      <c r="I1062">
        <f ca="1" t="shared" si="182"/>
        <v>531</v>
      </c>
      <c r="J1062">
        <f ca="1" t="shared" si="183"/>
        <v>16</v>
      </c>
      <c r="K1062">
        <f ca="1" t="shared" si="184"/>
        <v>8038</v>
      </c>
      <c r="L1062">
        <f ca="1" t="shared" si="185"/>
        <v>2221</v>
      </c>
      <c r="M1062">
        <f ca="1" t="shared" si="186"/>
        <v>0.009520414728</v>
      </c>
    </row>
    <row r="1063" spans="1:13">
      <c r="A1063" t="str">
        <f ca="1">OFFSET($N$2,(ROW(1063:1063)-2)/35,0)</f>
        <v>新疆维吾尔自治区</v>
      </c>
      <c r="B1063">
        <f ca="1">OFFSET($O$1,0,MOD(ROW(1063:1063)-2,35))</f>
        <v>2001</v>
      </c>
      <c r="C1063">
        <f ca="1" t="shared" si="176"/>
        <v>0.12519108</v>
      </c>
      <c r="D1063">
        <f ca="1" t="shared" si="177"/>
        <v>2</v>
      </c>
      <c r="E1063">
        <f ca="1" t="shared" si="178"/>
        <v>2</v>
      </c>
      <c r="F1063">
        <f ca="1" t="shared" si="179"/>
        <v>0.21545384868</v>
      </c>
      <c r="G1063">
        <f ca="1" t="shared" si="180"/>
        <v>0.0266863565682</v>
      </c>
      <c r="H1063">
        <f ca="1" t="shared" si="181"/>
        <v>0.25636003407</v>
      </c>
      <c r="I1063">
        <f ca="1" t="shared" si="182"/>
        <v>735</v>
      </c>
      <c r="J1063">
        <f ca="1" t="shared" si="183"/>
        <v>18</v>
      </c>
      <c r="K1063">
        <f ca="1" t="shared" si="184"/>
        <v>12854</v>
      </c>
      <c r="L1063">
        <f ca="1" t="shared" si="185"/>
        <v>1891</v>
      </c>
      <c r="M1063">
        <f ca="1" t="shared" si="186"/>
        <v>0.0089801350128</v>
      </c>
    </row>
    <row r="1064" spans="1:13">
      <c r="A1064" t="str">
        <f ca="1">OFFSET($N$2,(ROW(1064:1064)-2)/35,0)</f>
        <v>新疆维吾尔自治区</v>
      </c>
      <c r="B1064">
        <f ca="1">OFFSET($O$1,0,MOD(ROW(1064:1064)-2,35))</f>
        <v>2002</v>
      </c>
      <c r="C1064">
        <f ca="1" t="shared" si="176"/>
        <v>0.14161224</v>
      </c>
      <c r="D1064">
        <f ca="1" t="shared" si="177"/>
        <v>2</v>
      </c>
      <c r="E1064">
        <f ca="1" t="shared" si="178"/>
        <v>2</v>
      </c>
      <c r="F1064">
        <f ca="1" t="shared" si="179"/>
        <v>0.272211768136</v>
      </c>
      <c r="G1064">
        <f ca="1" t="shared" si="180"/>
        <v>0.0339331249488</v>
      </c>
      <c r="H1064">
        <f ca="1" t="shared" si="181"/>
        <v>0.311610653508</v>
      </c>
      <c r="I1064">
        <f ca="1" t="shared" si="182"/>
        <v>662</v>
      </c>
      <c r="J1064">
        <f ca="1" t="shared" si="183"/>
        <v>19</v>
      </c>
      <c r="K1064">
        <f ca="1" t="shared" si="184"/>
        <v>15878</v>
      </c>
      <c r="L1064">
        <f ca="1" t="shared" si="185"/>
        <v>2363</v>
      </c>
      <c r="M1064">
        <f ca="1" t="shared" si="186"/>
        <v>0.0109261935288</v>
      </c>
    </row>
    <row r="1065" spans="1:13">
      <c r="A1065" t="str">
        <f ca="1">OFFSET($N$2,(ROW(1065:1065)-2)/35,0)</f>
        <v>新疆维吾尔自治区</v>
      </c>
      <c r="B1065">
        <f ca="1">OFFSET($O$1,0,MOD(ROW(1065:1065)-2,35))</f>
        <v>2003</v>
      </c>
      <c r="C1065">
        <f ca="1" t="shared" si="176"/>
        <v>0.1421952</v>
      </c>
      <c r="D1065">
        <f ca="1" t="shared" si="177"/>
        <v>2</v>
      </c>
      <c r="E1065">
        <f ca="1" t="shared" si="178"/>
        <v>2</v>
      </c>
      <c r="F1065">
        <f ca="1" t="shared" si="179"/>
        <v>0.2520646912</v>
      </c>
      <c r="G1065">
        <f ca="1" t="shared" si="180"/>
        <v>0.033541714752</v>
      </c>
      <c r="H1065">
        <f ca="1" t="shared" si="181"/>
        <v>0.3073549248</v>
      </c>
      <c r="I1065">
        <f ca="1" t="shared" si="182"/>
        <v>743</v>
      </c>
      <c r="J1065">
        <f ca="1" t="shared" si="183"/>
        <v>21</v>
      </c>
      <c r="K1065">
        <f ca="1" t="shared" si="184"/>
        <v>13088</v>
      </c>
      <c r="L1065">
        <f ca="1" t="shared" si="185"/>
        <v>2029</v>
      </c>
      <c r="M1065">
        <f ca="1" t="shared" si="186"/>
        <v>0.010830398976</v>
      </c>
    </row>
    <row r="1066" spans="1:13">
      <c r="A1066" t="str">
        <f ca="1">OFFSET($N$2,(ROW(1066:1066)-2)/35,0)</f>
        <v>新疆维吾尔自治区</v>
      </c>
      <c r="B1066">
        <f ca="1">OFFSET($O$1,0,MOD(ROW(1066:1066)-2,35))</f>
        <v>2004</v>
      </c>
      <c r="C1066">
        <f ca="1" t="shared" si="176"/>
        <v>0.14478912</v>
      </c>
      <c r="D1066">
        <f ca="1" t="shared" si="177"/>
        <v>2</v>
      </c>
      <c r="E1066">
        <f ca="1" t="shared" si="178"/>
        <v>2</v>
      </c>
      <c r="F1066">
        <f ca="1" t="shared" si="179"/>
        <v>0.26100652032</v>
      </c>
      <c r="G1066">
        <f ca="1" t="shared" si="180"/>
        <v>0.0338545920384</v>
      </c>
      <c r="H1066">
        <f ca="1" t="shared" si="181"/>
        <v>0.358287916896</v>
      </c>
      <c r="I1066">
        <f ca="1" t="shared" si="182"/>
        <v>796</v>
      </c>
      <c r="J1066">
        <f ca="1" t="shared" si="183"/>
        <v>20</v>
      </c>
      <c r="K1066">
        <f ca="1" t="shared" si="184"/>
        <v>16798</v>
      </c>
      <c r="L1066">
        <f ca="1" t="shared" si="185"/>
        <v>2123</v>
      </c>
      <c r="M1066">
        <f ca="1" t="shared" si="186"/>
        <v>0.0115492075776</v>
      </c>
    </row>
    <row r="1067" spans="1:13">
      <c r="A1067" t="str">
        <f ca="1">OFFSET($N$2,(ROW(1067:1067)-2)/35,0)</f>
        <v>新疆维吾尔自治区</v>
      </c>
      <c r="B1067">
        <f ca="1">OFFSET($O$1,0,MOD(ROW(1067:1067)-2,35))</f>
        <v>2005</v>
      </c>
      <c r="C1067">
        <f ca="1" t="shared" si="176"/>
        <v>0.151158</v>
      </c>
      <c r="D1067">
        <f ca="1" t="shared" si="177"/>
        <v>2</v>
      </c>
      <c r="E1067">
        <f ca="1" t="shared" si="178"/>
        <v>2</v>
      </c>
      <c r="F1067">
        <f ca="1" t="shared" si="179"/>
        <v>0.266945028</v>
      </c>
      <c r="G1067">
        <f ca="1" t="shared" si="180"/>
        <v>0.03680470563</v>
      </c>
      <c r="H1067">
        <f ca="1" t="shared" si="181"/>
        <v>0.3623861892</v>
      </c>
      <c r="I1067">
        <f ca="1" t="shared" si="182"/>
        <v>641</v>
      </c>
      <c r="J1067">
        <f ca="1" t="shared" si="183"/>
        <v>15</v>
      </c>
      <c r="K1067">
        <f ca="1" t="shared" si="184"/>
        <v>13453</v>
      </c>
      <c r="L1067">
        <f ca="1" t="shared" si="185"/>
        <v>1838</v>
      </c>
      <c r="M1067">
        <f ca="1" t="shared" si="186"/>
        <v>0.01213410048</v>
      </c>
    </row>
    <row r="1068" spans="1:13">
      <c r="A1068" t="str">
        <f ca="1">OFFSET($N$2,(ROW(1068:1068)-2)/35,0)</f>
        <v>新疆维吾尔自治区</v>
      </c>
      <c r="B1068">
        <f ca="1">OFFSET($O$1,0,MOD(ROW(1068:1068)-2,35))</f>
        <v>2006</v>
      </c>
      <c r="C1068">
        <f ca="1" t="shared" si="176"/>
        <v>0.16526328</v>
      </c>
      <c r="D1068">
        <f ca="1" t="shared" si="177"/>
        <v>2</v>
      </c>
      <c r="E1068">
        <f ca="1" t="shared" si="178"/>
        <v>2</v>
      </c>
      <c r="F1068">
        <f ca="1" t="shared" si="179"/>
        <v>0.27670581848</v>
      </c>
      <c r="G1068">
        <f ca="1" t="shared" si="180"/>
        <v>0.038535265314</v>
      </c>
      <c r="H1068">
        <f ca="1" t="shared" si="181"/>
        <v>0.37353632862</v>
      </c>
      <c r="I1068">
        <f ca="1" t="shared" si="182"/>
        <v>701</v>
      </c>
      <c r="J1068">
        <f ca="1" t="shared" si="183"/>
        <v>21</v>
      </c>
      <c r="K1068">
        <f ca="1" t="shared" si="184"/>
        <v>18933</v>
      </c>
      <c r="L1068">
        <f ca="1" t="shared" si="185"/>
        <v>1789</v>
      </c>
      <c r="M1068">
        <f ca="1" t="shared" si="186"/>
        <v>0.0135331739088</v>
      </c>
    </row>
    <row r="1069" spans="1:13">
      <c r="A1069" t="str">
        <f ca="1">OFFSET($N$2,(ROW(1069:1069)-2)/35,0)</f>
        <v>新疆维吾尔自治区</v>
      </c>
      <c r="B1069">
        <f ca="1">OFFSET($O$1,0,MOD(ROW(1069:1069)-2,35))</f>
        <v>2007</v>
      </c>
      <c r="C1069">
        <f ca="1" t="shared" si="176"/>
        <v>0.16735572</v>
      </c>
      <c r="D1069">
        <f ca="1" t="shared" si="177"/>
        <v>2</v>
      </c>
      <c r="E1069">
        <f ca="1" t="shared" si="178"/>
        <v>2</v>
      </c>
      <c r="F1069">
        <f ca="1" t="shared" si="179"/>
        <v>0.32015149236</v>
      </c>
      <c r="G1069">
        <f ca="1" t="shared" si="180"/>
        <v>0.0366601072446</v>
      </c>
      <c r="H1069">
        <f ca="1" t="shared" si="181"/>
        <v>0.414657267444</v>
      </c>
      <c r="I1069">
        <f ca="1" t="shared" si="182"/>
        <v>695</v>
      </c>
      <c r="J1069">
        <f ca="1" t="shared" si="183"/>
        <v>25</v>
      </c>
      <c r="K1069">
        <f ca="1" t="shared" si="184"/>
        <v>17677</v>
      </c>
      <c r="L1069">
        <f ca="1" t="shared" si="185"/>
        <v>2919</v>
      </c>
      <c r="M1069">
        <f ca="1" t="shared" si="186"/>
        <v>0.0122473306692</v>
      </c>
    </row>
    <row r="1070" spans="1:13">
      <c r="A1070" t="str">
        <f ca="1">OFFSET($N$2,(ROW(1070:1070)-2)/35,0)</f>
        <v>新疆维吾尔自治区</v>
      </c>
      <c r="B1070">
        <f ca="1">OFFSET($O$1,0,MOD(ROW(1070:1070)-2,35))</f>
        <v>2008</v>
      </c>
      <c r="C1070">
        <f ca="1" t="shared" si="176"/>
        <v>0.17289552</v>
      </c>
      <c r="D1070">
        <f ca="1" t="shared" si="177"/>
        <v>3</v>
      </c>
      <c r="E1070">
        <f ca="1" t="shared" si="178"/>
        <v>2</v>
      </c>
      <c r="F1070">
        <f ca="1" t="shared" si="179"/>
        <v>0.343837320624</v>
      </c>
      <c r="G1070">
        <f ca="1" t="shared" si="180"/>
        <v>0.0404048185464</v>
      </c>
      <c r="H1070">
        <f ca="1" t="shared" si="181"/>
        <v>0.347727469824</v>
      </c>
      <c r="I1070">
        <f ca="1" t="shared" si="182"/>
        <v>994</v>
      </c>
      <c r="J1070">
        <f ca="1" t="shared" si="183"/>
        <v>27</v>
      </c>
      <c r="K1070">
        <f ca="1" t="shared" si="184"/>
        <v>18878</v>
      </c>
      <c r="L1070">
        <f ca="1" t="shared" si="185"/>
        <v>3334</v>
      </c>
      <c r="M1070">
        <f ca="1" t="shared" si="186"/>
        <v>0.0136893732864</v>
      </c>
    </row>
    <row r="1071" spans="1:13">
      <c r="A1071" t="str">
        <f ca="1">OFFSET($N$2,(ROW(1071:1071)-2)/35,0)</f>
        <v>新疆维吾尔自治区</v>
      </c>
      <c r="B1071">
        <f ca="1">OFFSET($O$1,0,MOD(ROW(1071:1071)-2,35))</f>
        <v>2009</v>
      </c>
      <c r="C1071">
        <f ca="1" t="shared" si="176"/>
        <v>0.17548944</v>
      </c>
      <c r="D1071">
        <f ca="1" t="shared" si="177"/>
        <v>3</v>
      </c>
      <c r="E1071">
        <f ca="1" t="shared" si="178"/>
        <v>2</v>
      </c>
      <c r="F1071">
        <f ca="1" t="shared" si="179"/>
        <v>0.34404704712</v>
      </c>
      <c r="G1071">
        <f ca="1" t="shared" si="180"/>
        <v>0.0424710768216</v>
      </c>
      <c r="H1071">
        <f ca="1" t="shared" si="181"/>
        <v>0.380741889024</v>
      </c>
      <c r="I1071">
        <f ca="1" t="shared" si="182"/>
        <v>786</v>
      </c>
      <c r="J1071">
        <f ca="1" t="shared" si="183"/>
        <v>19</v>
      </c>
      <c r="K1071">
        <f ca="1" t="shared" si="184"/>
        <v>15252</v>
      </c>
      <c r="L1071">
        <f ca="1" t="shared" si="185"/>
        <v>2020</v>
      </c>
      <c r="M1071">
        <f ca="1" t="shared" si="186"/>
        <v>0.0129533769648</v>
      </c>
    </row>
    <row r="1072" spans="1:13">
      <c r="A1072" t="str">
        <f ca="1">OFFSET($N$2,(ROW(1072:1072)-2)/35,0)</f>
        <v>新疆维吾尔自治区</v>
      </c>
      <c r="B1072">
        <f ca="1">OFFSET($O$1,0,MOD(ROW(1072:1072)-2,35))</f>
        <v>2010</v>
      </c>
      <c r="C1072">
        <f ca="1" t="shared" si="176"/>
        <v>0.1849932</v>
      </c>
      <c r="D1072">
        <f ca="1" t="shared" si="177"/>
        <v>3</v>
      </c>
      <c r="E1072">
        <f ca="1" t="shared" si="178"/>
        <v>2</v>
      </c>
      <c r="F1072">
        <f ca="1" t="shared" si="179"/>
        <v>0.3580235064</v>
      </c>
      <c r="G1072">
        <f ca="1" t="shared" si="180"/>
        <v>0.038567382336</v>
      </c>
      <c r="H1072">
        <f ca="1" t="shared" si="181"/>
        <v>0.4228482069</v>
      </c>
      <c r="I1072">
        <f ca="1" t="shared" si="182"/>
        <v>1030</v>
      </c>
      <c r="J1072">
        <f ca="1" t="shared" si="183"/>
        <v>35</v>
      </c>
      <c r="K1072">
        <f ca="1" t="shared" si="184"/>
        <v>14785</v>
      </c>
      <c r="L1072">
        <f ca="1" t="shared" si="185"/>
        <v>2077</v>
      </c>
      <c r="M1072">
        <f ca="1" t="shared" si="186"/>
        <v>0.013574272464</v>
      </c>
    </row>
    <row r="1073" spans="1:13">
      <c r="A1073" t="str">
        <f ca="1">OFFSET($N$2,(ROW(1073:1073)-2)/35,0)</f>
        <v>新疆维吾尔自治区</v>
      </c>
      <c r="B1073">
        <f ca="1">OFFSET($O$1,0,MOD(ROW(1073:1073)-2,35))</f>
        <v>2011</v>
      </c>
      <c r="C1073">
        <f ca="1" t="shared" si="176"/>
        <v>0.20201832</v>
      </c>
      <c r="D1073">
        <f ca="1" t="shared" si="177"/>
        <v>3</v>
      </c>
      <c r="E1073">
        <f ca="1" t="shared" si="178"/>
        <v>2</v>
      </c>
      <c r="F1073">
        <f ca="1" t="shared" si="179"/>
        <v>0.363141398088</v>
      </c>
      <c r="G1073">
        <f ca="1" t="shared" si="180"/>
        <v>0.048393488556</v>
      </c>
      <c r="H1073">
        <f ca="1" t="shared" si="181"/>
        <v>0.425218260852</v>
      </c>
      <c r="I1073">
        <f ca="1" t="shared" si="182"/>
        <v>1011</v>
      </c>
      <c r="J1073">
        <f ca="1" t="shared" si="183"/>
        <v>37</v>
      </c>
      <c r="K1073">
        <f ca="1" t="shared" si="184"/>
        <v>20841</v>
      </c>
      <c r="L1073">
        <f ca="1" t="shared" si="185"/>
        <v>2837</v>
      </c>
      <c r="M1073">
        <f ca="1" t="shared" si="186"/>
        <v>0.0163709874576</v>
      </c>
    </row>
    <row r="1074" spans="1:13">
      <c r="A1074" t="str">
        <f ca="1">OFFSET($N$2,(ROW(1074:1074)-2)/35,0)</f>
        <v>新疆维吾尔自治区</v>
      </c>
      <c r="B1074">
        <f ca="1">OFFSET($O$1,0,MOD(ROW(1074:1074)-2,35))</f>
        <v>2012</v>
      </c>
      <c r="C1074">
        <f ca="1" t="shared" si="176"/>
        <v>0.197568</v>
      </c>
      <c r="D1074">
        <f ca="1" t="shared" si="177"/>
        <v>3</v>
      </c>
      <c r="E1074">
        <f ca="1" t="shared" si="178"/>
        <v>3</v>
      </c>
      <c r="F1074">
        <f ca="1" t="shared" si="179"/>
        <v>0.3691492224</v>
      </c>
      <c r="G1074">
        <f ca="1" t="shared" si="180"/>
        <v>0.04160386944</v>
      </c>
      <c r="H1074">
        <f ca="1" t="shared" si="181"/>
        <v>0.4345903296</v>
      </c>
      <c r="I1074">
        <f ca="1" t="shared" si="182"/>
        <v>1175</v>
      </c>
      <c r="J1074">
        <f ca="1" t="shared" si="183"/>
        <v>22</v>
      </c>
      <c r="K1074">
        <f ca="1" t="shared" si="184"/>
        <v>14121</v>
      </c>
      <c r="L1074">
        <f ca="1" t="shared" si="185"/>
        <v>2967</v>
      </c>
      <c r="M1074">
        <f ca="1" t="shared" si="186"/>
        <v>0.01638516096</v>
      </c>
    </row>
    <row r="1075" spans="1:13">
      <c r="A1075" t="str">
        <f ca="1">OFFSET($N$2,(ROW(1075:1075)-2)/35,0)</f>
        <v>新疆维吾尔自治区</v>
      </c>
      <c r="B1075">
        <f ca="1">OFFSET($O$1,0,MOD(ROW(1075:1075)-2,35))</f>
        <v>2013</v>
      </c>
      <c r="C1075">
        <f ca="1" t="shared" si="176"/>
        <v>0.20352024</v>
      </c>
      <c r="D1075">
        <f ca="1" t="shared" si="177"/>
        <v>3</v>
      </c>
      <c r="E1075">
        <f ca="1" t="shared" si="178"/>
        <v>3</v>
      </c>
      <c r="F1075">
        <f ca="1" t="shared" si="179"/>
        <v>0.339431056272</v>
      </c>
      <c r="G1075">
        <f ca="1" t="shared" si="180"/>
        <v>0.0486128445264</v>
      </c>
      <c r="H1075">
        <f ca="1" t="shared" si="181"/>
        <v>0.444915596664</v>
      </c>
      <c r="I1075">
        <f ca="1" t="shared" si="182"/>
        <v>896</v>
      </c>
      <c r="J1075">
        <f ca="1" t="shared" si="183"/>
        <v>40</v>
      </c>
      <c r="K1075">
        <f ca="1" t="shared" si="184"/>
        <v>17447</v>
      </c>
      <c r="L1075">
        <f ca="1" t="shared" si="185"/>
        <v>3988</v>
      </c>
      <c r="M1075">
        <f ca="1" t="shared" si="186"/>
        <v>0.0167721029784</v>
      </c>
    </row>
    <row r="1076" spans="1:13">
      <c r="A1076" t="str">
        <f ca="1">OFFSET($N$2,(ROW(1076:1076)-2)/35,0)</f>
        <v>新疆维吾尔自治区</v>
      </c>
      <c r="B1076">
        <f ca="1">OFFSET($O$1,0,MOD(ROW(1076:1076)-2,35))</f>
        <v>2014</v>
      </c>
      <c r="C1076">
        <f ca="1" t="shared" si="176"/>
        <v>0.22768032</v>
      </c>
      <c r="D1076">
        <f ca="1" t="shared" si="177"/>
        <v>3</v>
      </c>
      <c r="E1076">
        <f ca="1" t="shared" si="178"/>
        <v>3</v>
      </c>
      <c r="F1076">
        <f ca="1" t="shared" si="179"/>
        <v>0.430551074464</v>
      </c>
      <c r="G1076">
        <f ca="1" t="shared" si="180"/>
        <v>0.0496263409488</v>
      </c>
      <c r="H1076">
        <f ca="1" t="shared" si="181"/>
        <v>0.479551674</v>
      </c>
      <c r="I1076">
        <f ca="1" t="shared" si="182"/>
        <v>1028</v>
      </c>
      <c r="J1076">
        <f ca="1" t="shared" si="183"/>
        <v>40</v>
      </c>
      <c r="K1076">
        <f ca="1" t="shared" si="184"/>
        <v>15125</v>
      </c>
      <c r="L1076">
        <f ca="1" t="shared" si="185"/>
        <v>3383</v>
      </c>
      <c r="M1076">
        <f ca="1" t="shared" si="186"/>
        <v>0.0190539154656</v>
      </c>
    </row>
    <row r="1077" spans="1:13">
      <c r="A1077" t="str">
        <f ca="1">OFFSET($N$2,(ROW(1077:1077)-2)/35,0)</f>
        <v>新疆维吾尔自治区</v>
      </c>
      <c r="B1077">
        <f ca="1">OFFSET($O$1,0,MOD(ROW(1077:1077)-2,35))</f>
        <v>2015</v>
      </c>
      <c r="C1077">
        <f ca="1" t="shared" si="176"/>
        <v>0.2079756</v>
      </c>
      <c r="D1077">
        <f ca="1" t="shared" si="177"/>
        <v>3</v>
      </c>
      <c r="E1077">
        <f ca="1" t="shared" si="178"/>
        <v>3</v>
      </c>
      <c r="F1077">
        <f ca="1" t="shared" si="179"/>
        <v>0.4073202126</v>
      </c>
      <c r="G1077">
        <f ca="1" t="shared" si="180"/>
        <v>0.042938642376</v>
      </c>
      <c r="H1077">
        <f ca="1" t="shared" si="181"/>
        <v>0.42873130062</v>
      </c>
      <c r="I1077">
        <f ca="1" t="shared" si="182"/>
        <v>896</v>
      </c>
      <c r="J1077">
        <f ca="1" t="shared" si="183"/>
        <v>32</v>
      </c>
      <c r="K1077">
        <f ca="1" t="shared" si="184"/>
        <v>18702</v>
      </c>
      <c r="L1077">
        <f ca="1" t="shared" si="185"/>
        <v>2096</v>
      </c>
      <c r="M1077">
        <f ca="1" t="shared" si="186"/>
        <v>0.016148711124</v>
      </c>
    </row>
    <row r="1078" spans="1:13">
      <c r="A1078" t="str">
        <f ca="1">OFFSET($N$2,(ROW(1078:1078)-2)/35,0)</f>
        <v>新疆维吾尔自治区</v>
      </c>
      <c r="B1078">
        <f ca="1">OFFSET($O$1,0,MOD(ROW(1078:1078)-2,35))</f>
        <v>2016</v>
      </c>
      <c r="C1078">
        <f ca="1" t="shared" si="176"/>
        <v>0.22063104</v>
      </c>
      <c r="D1078">
        <f ca="1" t="shared" si="177"/>
        <v>3</v>
      </c>
      <c r="E1078">
        <f ca="1" t="shared" si="178"/>
        <v>3</v>
      </c>
      <c r="F1078">
        <f ca="1" t="shared" si="179"/>
        <v>0.384949684224</v>
      </c>
      <c r="G1078">
        <f ca="1" t="shared" si="180"/>
        <v>0.054975739392</v>
      </c>
      <c r="H1078">
        <f ca="1" t="shared" si="181"/>
        <v>0.486469380096</v>
      </c>
      <c r="I1078">
        <f ca="1" t="shared" si="182"/>
        <v>1208</v>
      </c>
      <c r="J1078">
        <f ca="1" t="shared" si="183"/>
        <v>54</v>
      </c>
      <c r="K1078">
        <f ca="1" t="shared" si="184"/>
        <v>15201</v>
      </c>
      <c r="L1078">
        <f ca="1" t="shared" si="185"/>
        <v>2465</v>
      </c>
      <c r="M1078">
        <f ca="1" t="shared" si="186"/>
        <v>0.018444754944</v>
      </c>
    </row>
    <row r="1079" spans="1:13">
      <c r="A1079" t="str">
        <f ca="1">OFFSET($N$2,(ROW(1079:1079)-2)/35,0)</f>
        <v>新疆维吾尔自治区</v>
      </c>
      <c r="B1079">
        <f ca="1">OFFSET($O$1,0,MOD(ROW(1079:1079)-2,35))</f>
        <v>2017</v>
      </c>
      <c r="C1079">
        <f ca="1" t="shared" si="176"/>
        <v>0.23431212</v>
      </c>
      <c r="D1079">
        <f ca="1" t="shared" si="177"/>
        <v>3</v>
      </c>
      <c r="E1079">
        <f ca="1" t="shared" si="178"/>
        <v>3</v>
      </c>
      <c r="F1079">
        <f ca="1" t="shared" si="179"/>
        <v>0.451589748876</v>
      </c>
      <c r="G1079">
        <f ca="1" t="shared" si="180"/>
        <v>0.0483889674618</v>
      </c>
      <c r="H1079">
        <f ca="1" t="shared" si="181"/>
        <v>0.575247970206</v>
      </c>
      <c r="I1079">
        <f ca="1" t="shared" si="182"/>
        <v>956</v>
      </c>
      <c r="J1079">
        <f ca="1" t="shared" si="183"/>
        <v>37</v>
      </c>
      <c r="K1079">
        <f ca="1" t="shared" si="184"/>
        <v>16996</v>
      </c>
      <c r="L1079">
        <f ca="1" t="shared" si="185"/>
        <v>3437</v>
      </c>
      <c r="M1079">
        <f ca="1" t="shared" si="186"/>
        <v>0.0198817181136</v>
      </c>
    </row>
    <row r="1080" spans="1:13">
      <c r="A1080" t="str">
        <f ca="1">OFFSET($N$2,(ROW(1080:1080)-2)/35,0)</f>
        <v>新疆维吾尔自治区</v>
      </c>
      <c r="B1080">
        <f ca="1">OFFSET($O$1,0,MOD(ROW(1080:1080)-2,35))</f>
        <v>2018</v>
      </c>
      <c r="C1080">
        <f ca="1" t="shared" si="176"/>
        <v>0.24121944</v>
      </c>
      <c r="D1080">
        <f ca="1" t="shared" si="177"/>
        <v>4</v>
      </c>
      <c r="E1080">
        <f ca="1" t="shared" si="178"/>
        <v>3</v>
      </c>
      <c r="F1080">
        <f ca="1" t="shared" si="179"/>
        <v>0.443908094784</v>
      </c>
      <c r="G1080">
        <f ca="1" t="shared" si="180"/>
        <v>0.0577732619772</v>
      </c>
      <c r="H1080">
        <f ca="1" t="shared" si="181"/>
        <v>0.547845531156</v>
      </c>
      <c r="I1080">
        <f ca="1" t="shared" si="182"/>
        <v>1017</v>
      </c>
      <c r="J1080">
        <f ca="1" t="shared" si="183"/>
        <v>153</v>
      </c>
      <c r="K1080">
        <f ca="1" t="shared" si="184"/>
        <v>20044</v>
      </c>
      <c r="L1080">
        <f ca="1" t="shared" si="185"/>
        <v>4788</v>
      </c>
      <c r="M1080">
        <f ca="1" t="shared" si="186"/>
        <v>0.0198244473768</v>
      </c>
    </row>
    <row r="1081" spans="1:13">
      <c r="A1081" t="str">
        <f ca="1">OFFSET($N$2,(ROW(1081:1081)-2)/35,0)</f>
        <v>新疆维吾尔自治区</v>
      </c>
      <c r="B1081">
        <f ca="1">OFFSET($O$1,0,MOD(ROW(1081:1081)-2,35))</f>
        <v>2019</v>
      </c>
      <c r="C1081">
        <f ca="1" t="shared" si="176"/>
        <v>0.26171964</v>
      </c>
      <c r="D1081">
        <f ca="1" t="shared" si="177"/>
        <v>4</v>
      </c>
      <c r="E1081">
        <f ca="1" t="shared" si="178"/>
        <v>3</v>
      </c>
      <c r="F1081">
        <f ca="1" t="shared" si="179"/>
        <v>0.462100920372</v>
      </c>
      <c r="G1081">
        <f ca="1" t="shared" si="180"/>
        <v>0.0622264616064</v>
      </c>
      <c r="H1081">
        <f ca="1" t="shared" si="181"/>
        <v>0.537362764848</v>
      </c>
      <c r="I1081">
        <f ca="1" t="shared" si="182"/>
        <v>1182</v>
      </c>
      <c r="J1081">
        <f ca="1" t="shared" si="183"/>
        <v>186</v>
      </c>
      <c r="K1081">
        <f ca="1" t="shared" si="184"/>
        <v>17550</v>
      </c>
      <c r="L1081">
        <f ca="1" t="shared" si="185"/>
        <v>3770</v>
      </c>
      <c r="M1081">
        <f ca="1" t="shared" si="186"/>
        <v>0.0193997813724</v>
      </c>
    </row>
    <row r="1082" spans="1:13">
      <c r="A1082" t="str">
        <f ca="1">OFFSET($N$2,(ROW(1082:1082)-2)/35,0)</f>
        <v>新疆维吾尔自治区</v>
      </c>
      <c r="B1082">
        <f ca="1">OFFSET($O$1,0,MOD(ROW(1082:1082)-2,35))</f>
        <v>2020</v>
      </c>
      <c r="C1082">
        <f ca="1" t="shared" si="176"/>
        <v>0.2549904</v>
      </c>
      <c r="D1082">
        <f ca="1" t="shared" si="177"/>
        <v>4</v>
      </c>
      <c r="E1082">
        <f ca="1" t="shared" si="178"/>
        <v>3</v>
      </c>
      <c r="F1082">
        <f ca="1" t="shared" si="179"/>
        <v>0.47761401856</v>
      </c>
      <c r="G1082">
        <f ca="1" t="shared" si="180"/>
        <v>0.053234345808</v>
      </c>
      <c r="H1082">
        <f ca="1" t="shared" si="181"/>
        <v>0.62716163832</v>
      </c>
      <c r="I1082">
        <f ca="1" t="shared" si="182"/>
        <v>1235</v>
      </c>
      <c r="J1082">
        <f ca="1" t="shared" si="183"/>
        <v>214</v>
      </c>
      <c r="K1082">
        <f ca="1" t="shared" si="184"/>
        <v>21177</v>
      </c>
      <c r="L1082">
        <f ca="1" t="shared" si="185"/>
        <v>3349</v>
      </c>
      <c r="M1082">
        <f ca="1" t="shared" si="186"/>
        <v>0.0214374072</v>
      </c>
    </row>
    <row r="1083" spans="1:13">
      <c r="A1083" t="str">
        <f ca="1">OFFSET($N$2,(ROW(1083:1083)-2)/35,0)</f>
        <v>新疆维吾尔自治区</v>
      </c>
      <c r="B1083">
        <f ca="1">OFFSET($O$1,0,MOD(ROW(1083:1083)-2,35))</f>
        <v>2021</v>
      </c>
      <c r="C1083">
        <f ca="1" t="shared" si="176"/>
        <v>0.27245484</v>
      </c>
      <c r="D1083">
        <f ca="1" t="shared" si="177"/>
        <v>4</v>
      </c>
      <c r="E1083">
        <f ca="1" t="shared" si="178"/>
        <v>3</v>
      </c>
      <c r="F1083">
        <f ca="1" t="shared" si="179"/>
        <v>0.518808506328</v>
      </c>
      <c r="G1083">
        <f ca="1" t="shared" si="180"/>
        <v>0.0552565661004</v>
      </c>
      <c r="H1083">
        <f ca="1" t="shared" si="181"/>
        <v>0.597479841378</v>
      </c>
      <c r="I1083">
        <f ca="1" t="shared" si="182"/>
        <v>1286</v>
      </c>
      <c r="J1083">
        <f ca="1" t="shared" si="183"/>
        <v>272</v>
      </c>
      <c r="K1083">
        <f ca="1" t="shared" si="184"/>
        <v>28765</v>
      </c>
      <c r="L1083">
        <f ca="1" t="shared" si="185"/>
        <v>5364</v>
      </c>
      <c r="M1083">
        <f ca="1" t="shared" si="186"/>
        <v>0.0206466277752</v>
      </c>
    </row>
    <row r="1084" spans="1:13">
      <c r="A1084" t="str">
        <f ca="1">OFFSET($N$2,(ROW(1084:1084)-2)/35,0)</f>
        <v>新疆维吾尔自治区</v>
      </c>
      <c r="B1084">
        <f ca="1">OFFSET($O$1,0,MOD(ROW(1084:1084)-2,35))</f>
        <v>2022</v>
      </c>
      <c r="C1084">
        <f ca="1" t="shared" si="176"/>
        <v>0.27744192</v>
      </c>
      <c r="D1084">
        <f ca="1" t="shared" si="177"/>
        <v>4</v>
      </c>
      <c r="E1084">
        <f ca="1" t="shared" si="178"/>
        <v>3</v>
      </c>
      <c r="F1084">
        <f ca="1" t="shared" si="179"/>
        <v>0.481953607296</v>
      </c>
      <c r="G1084">
        <f ca="1" t="shared" si="180"/>
        <v>0.0614519980704</v>
      </c>
      <c r="H1084">
        <f ca="1" t="shared" si="181"/>
        <v>0.59219977824</v>
      </c>
      <c r="I1084">
        <f ca="1" t="shared" si="182"/>
        <v>1477</v>
      </c>
      <c r="J1084">
        <f ca="1" t="shared" si="183"/>
        <v>270</v>
      </c>
      <c r="K1084">
        <f ca="1" t="shared" si="184"/>
        <v>31222</v>
      </c>
      <c r="L1084">
        <f ca="1" t="shared" si="185"/>
        <v>3587</v>
      </c>
      <c r="M1084">
        <f ca="1" t="shared" si="186"/>
        <v>0.0213142773312</v>
      </c>
    </row>
    <row r="1085" spans="1:13">
      <c r="A1085" t="str">
        <f ca="1">OFFSET($N$2,(ROW(1085:1085)-2)/35,0)</f>
        <v>新疆维吾尔自治区</v>
      </c>
      <c r="B1085">
        <f ca="1">OFFSET($O$1,0,MOD(ROW(1085:1085)-2,35))</f>
        <v>2023</v>
      </c>
      <c r="C1085">
        <f ca="1" t="shared" si="176"/>
        <v>0.27476484</v>
      </c>
      <c r="D1085">
        <f ca="1" t="shared" si="177"/>
        <v>5</v>
      </c>
      <c r="E1085">
        <f ca="1" t="shared" si="178"/>
        <v>3</v>
      </c>
      <c r="F1085">
        <f ca="1" t="shared" si="179"/>
        <v>0.515971734208</v>
      </c>
      <c r="G1085">
        <f ca="1" t="shared" si="180"/>
        <v>0.0595923723234</v>
      </c>
      <c r="H1085">
        <f ca="1" t="shared" si="181"/>
        <v>0.67633365366</v>
      </c>
      <c r="I1085">
        <f ca="1" t="shared" si="182"/>
        <v>1374</v>
      </c>
      <c r="J1085">
        <f ca="1" t="shared" si="183"/>
        <v>150</v>
      </c>
      <c r="K1085">
        <f ca="1" t="shared" si="184"/>
        <v>22526</v>
      </c>
      <c r="L1085">
        <f ca="1" t="shared" si="185"/>
        <v>3624</v>
      </c>
      <c r="M1085">
        <f ca="1" t="shared" si="186"/>
        <v>0.023431553034</v>
      </c>
    </row>
    <row r="1086" spans="1:13">
      <c r="A1086" t="str">
        <f ca="1">OFFSET($N$2,(ROW(1086:1086)-2)/35,0)</f>
        <v>新疆维吾尔自治区</v>
      </c>
      <c r="B1086">
        <f ca="1">OFFSET($O$1,0,MOD(ROW(1086:1086)-2,35))</f>
        <v>2024</v>
      </c>
      <c r="C1086">
        <f ca="1" t="shared" si="176"/>
        <v>0.26522496</v>
      </c>
      <c r="D1086">
        <f ca="1" t="shared" si="177"/>
        <v>5</v>
      </c>
      <c r="E1086">
        <f ca="1" t="shared" si="178"/>
        <v>3</v>
      </c>
      <c r="F1086">
        <f ca="1" t="shared" si="179"/>
        <v>0.511521698688</v>
      </c>
      <c r="G1086">
        <f ca="1" t="shared" si="180"/>
        <v>0.0654230408832</v>
      </c>
      <c r="H1086">
        <f ca="1" t="shared" si="181"/>
        <v>0.630598864896</v>
      </c>
      <c r="I1086">
        <f ca="1" t="shared" si="182"/>
        <v>1408</v>
      </c>
      <c r="J1086">
        <f ca="1" t="shared" si="183"/>
        <v>212</v>
      </c>
      <c r="K1086">
        <f ca="1" t="shared" si="184"/>
        <v>24734</v>
      </c>
      <c r="L1086">
        <f ca="1" t="shared" si="185"/>
        <v>4167</v>
      </c>
      <c r="M1086">
        <f ca="1" t="shared" si="186"/>
        <v>0.022682417472</v>
      </c>
    </row>
  </sheetData>
  <pageMargins left="0.7" right="0.7" top="0.75" bottom="0.75" header="0.3" footer="0.3"/>
  <pageSetup paperSize="9" orientation="portrait" horizontalDpi="1200" verticalDpi="12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2025-06-13T09:04:10Z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6272B9F9E77340FDA092A56D3315402E_12</vt:lpwstr>
  </property>
  <property fmtid="{D5CDD505-2E9C-101B-9397-08002B2CF9AE}" pid="3" name="KSOProductBuildVer">
    <vt:lpwstr>2052-12.1.0.15374</vt:lpwstr>
  </property>
</Properties>
</file>
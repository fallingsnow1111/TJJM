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13825\Desktop\杂七杂八\统计建模\TJJM\Dataset\碳排放数据集\"/>
    </mc:Choice>
  </mc:AlternateContent>
  <xr:revisionPtr revIDLastSave="0" documentId="13_ncr:1_{A369B5CF-9E7A-4341-8A06-80D154CA61B8}" xr6:coauthVersionLast="47" xr6:coauthVersionMax="47" xr10:uidLastSave="{00000000-0000-0000-0000-000000000000}"/>
  <bookViews>
    <workbookView xWindow="-23148" yWindow="-108" windowWidth="23256" windowHeight="12456" firstSheet="2" activeTab="3" xr2:uid="{00000000-000D-0000-FFFF-FFFF00000000}"/>
  </bookViews>
  <sheets>
    <sheet name="Data description" sheetId="9" r:id="rId1"/>
    <sheet name="Definition of sectors" sheetId="8" r:id="rId2"/>
    <sheet name="Definition of fuel type" sheetId="7" r:id="rId3"/>
    <sheet name="MEIC-China-CO2 total emission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41" i="4" l="1"/>
  <c r="E41" i="4"/>
  <c r="F41" i="4"/>
  <c r="G41" i="4"/>
  <c r="H41" i="4"/>
  <c r="I41" i="4"/>
  <c r="J41" i="4"/>
  <c r="K41" i="4"/>
  <c r="L41" i="4"/>
  <c r="M41" i="4"/>
  <c r="N41" i="4"/>
  <c r="O41" i="4"/>
  <c r="P41" i="4"/>
  <c r="Q41" i="4"/>
  <c r="R41" i="4"/>
  <c r="S41" i="4"/>
  <c r="T41" i="4"/>
  <c r="U41" i="4"/>
  <c r="V41" i="4"/>
  <c r="W41" i="4"/>
  <c r="X41" i="4"/>
  <c r="Y41" i="4"/>
  <c r="Z41" i="4"/>
  <c r="AA41" i="4"/>
  <c r="AB41" i="4"/>
  <c r="AC41" i="4"/>
  <c r="AD41" i="4"/>
  <c r="AE41" i="4"/>
  <c r="AF41" i="4"/>
  <c r="AG41" i="4"/>
  <c r="AH41" i="4"/>
  <c r="AI41" i="4"/>
  <c r="AJ41" i="4"/>
  <c r="D41" i="4"/>
</calcChain>
</file>

<file path=xl/sharedStrings.xml><?xml version="1.0" encoding="utf-8"?>
<sst xmlns="http://schemas.openxmlformats.org/spreadsheetml/2006/main" count="296" uniqueCount="233">
  <si>
    <t>Sector</t>
    <phoneticPr fontId="3" type="noConversion"/>
  </si>
  <si>
    <t>Province</t>
    <phoneticPr fontId="3" type="noConversion"/>
  </si>
  <si>
    <t>Province_code</t>
    <phoneticPr fontId="3" type="noConversion"/>
  </si>
  <si>
    <t>All products of MEIC are restricted to non-commercial purposes. Any uses of products by business organizations are regarded as commercial purposes which need prior authorization.</t>
    <phoneticPr fontId="3" type="noConversion"/>
  </si>
  <si>
    <t>Disclaimer</t>
    <phoneticPr fontId="3" type="noConversion"/>
  </si>
  <si>
    <t>Citation</t>
    <phoneticPr fontId="3" type="noConversion"/>
  </si>
  <si>
    <r>
      <t>If you have any questions, please contact </t>
    </r>
    <r>
      <rPr>
        <b/>
        <sz val="11"/>
        <color theme="1"/>
        <rFont val="Arial"/>
        <family val="2"/>
      </rPr>
      <t>MEIC team</t>
    </r>
    <r>
      <rPr>
        <sz val="11"/>
        <color theme="1"/>
        <rFont val="Arial"/>
        <family val="2"/>
      </rPr>
      <t> (meic@tsinghua.edu.cn) in Tsinghua University.</t>
    </r>
    <phoneticPr fontId="3" type="noConversion"/>
  </si>
  <si>
    <t>Contact</t>
    <phoneticPr fontId="3" type="noConversion"/>
  </si>
  <si>
    <r>
      <t>*</t>
    </r>
    <r>
      <rPr>
        <sz val="11"/>
        <color theme="1"/>
        <rFont val="Arial"/>
        <family val="2"/>
      </rPr>
      <t>The process emissions of cement industry (clinker production) are not derived by fuel combustion, but are included as "Process" for full coverage.</t>
    </r>
    <phoneticPr fontId="3" type="noConversion"/>
  </si>
  <si>
    <t>Cement industry</t>
    <phoneticPr fontId="3" type="noConversion"/>
  </si>
  <si>
    <r>
      <t>Process</t>
    </r>
    <r>
      <rPr>
        <vertAlign val="superscript"/>
        <sz val="11"/>
        <color theme="1"/>
        <rFont val="Arial"/>
        <family val="2"/>
      </rPr>
      <t>*</t>
    </r>
    <phoneticPr fontId="3" type="noConversion"/>
  </si>
  <si>
    <t>Municipal waste (non-renewable)</t>
  </si>
  <si>
    <t>Industrial waste</t>
  </si>
  <si>
    <t>Oil shale and oil sands</t>
  </si>
  <si>
    <t>Peat products</t>
  </si>
  <si>
    <t>Peat</t>
  </si>
  <si>
    <t>Other fossil fuels</t>
    <phoneticPr fontId="3" type="noConversion"/>
  </si>
  <si>
    <t>Natural gas</t>
  </si>
  <si>
    <t>Natural gas</t>
    <phoneticPr fontId="3" type="noConversion"/>
  </si>
  <si>
    <t>Other oil products</t>
  </si>
  <si>
    <t>Petroleum coke</t>
  </si>
  <si>
    <t>Paraffin waxes</t>
  </si>
  <si>
    <t>Bitumen</t>
  </si>
  <si>
    <t>Lubricants</t>
  </si>
  <si>
    <t>White spirit &amp; SBP</t>
  </si>
  <si>
    <t>Naphtha</t>
  </si>
  <si>
    <t>Fuel oil</t>
  </si>
  <si>
    <t>Gas/diesel oil excl. biofuels</t>
  </si>
  <si>
    <t>Other kerosene</t>
  </si>
  <si>
    <t>Kerosene type jet fuel excl. biofuels</t>
  </si>
  <si>
    <t>Gasoline type jet fuel</t>
  </si>
  <si>
    <t>Aviation gasoline</t>
  </si>
  <si>
    <t>Motor gasoline excl. biofuels</t>
  </si>
  <si>
    <t>Liquefied petroleum gases (LPG)</t>
  </si>
  <si>
    <t>Ethane</t>
  </si>
  <si>
    <t>Refinery gas</t>
  </si>
  <si>
    <t>Other hydrocarbons</t>
  </si>
  <si>
    <t>Additives/blending components</t>
  </si>
  <si>
    <t>Refinery feedstocks</t>
  </si>
  <si>
    <t>Natural gas liquids</t>
  </si>
  <si>
    <t>Crude oil</t>
  </si>
  <si>
    <t>Oil</t>
    <phoneticPr fontId="3" type="noConversion"/>
  </si>
  <si>
    <t>Other recovered gases</t>
  </si>
  <si>
    <t>Blast furnace gas</t>
  </si>
  <si>
    <t>Coke oven gas</t>
  </si>
  <si>
    <t>Gas works gas</t>
  </si>
  <si>
    <t>BKB</t>
  </si>
  <si>
    <t>Coal tar</t>
  </si>
  <si>
    <t>Gas coke</t>
  </si>
  <si>
    <t>Coke oven coke</t>
  </si>
  <si>
    <t>Patent fuel</t>
  </si>
  <si>
    <t>Lignite</t>
  </si>
  <si>
    <t>Sub-bituminous coal</t>
  </si>
  <si>
    <t>Other bituminous coal</t>
  </si>
  <si>
    <t>Coking coal</t>
  </si>
  <si>
    <t>Anthracite</t>
  </si>
  <si>
    <t>Coal</t>
    <phoneticPr fontId="3" type="noConversion"/>
  </si>
  <si>
    <t>Definition</t>
    <phoneticPr fontId="3" type="noConversion"/>
  </si>
  <si>
    <r>
      <t>Fuel type in MEIC-China-CO</t>
    </r>
    <r>
      <rPr>
        <b/>
        <vertAlign val="subscript"/>
        <sz val="11"/>
        <color theme="1"/>
        <rFont val="Arial"/>
        <family val="2"/>
      </rPr>
      <t>2</t>
    </r>
    <phoneticPr fontId="3" type="noConversion"/>
  </si>
  <si>
    <t>Table 2. Definition of fuel type</t>
    <phoneticPr fontId="3" type="noConversion"/>
  </si>
  <si>
    <t>The fuel types used in all data tables are defined as below.</t>
    <phoneticPr fontId="3" type="noConversion"/>
  </si>
  <si>
    <t>1. International transport is not included in country-based data but aggregated at global level.</t>
    <phoneticPr fontId="3" type="noConversion"/>
  </si>
  <si>
    <t>1A5</t>
  </si>
  <si>
    <t>Non-specified sectors</t>
  </si>
  <si>
    <t>1A4b</t>
  </si>
  <si>
    <t>Residential (urban)</t>
  </si>
  <si>
    <t>Residential (rural)</t>
  </si>
  <si>
    <t>1A4a</t>
  </si>
  <si>
    <t>Commercial and institutional</t>
  </si>
  <si>
    <t>Residential and commercial</t>
  </si>
  <si>
    <t>1A3b</t>
  </si>
  <si>
    <t>Other fleet totals</t>
  </si>
  <si>
    <t>Motorcycles</t>
  </si>
  <si>
    <t>Heavy duty trucks</t>
  </si>
  <si>
    <t>Buses</t>
  </si>
  <si>
    <t>Light duty trucks</t>
  </si>
  <si>
    <t>Cars</t>
  </si>
  <si>
    <t>1A4c</t>
  </si>
  <si>
    <t>Fishing</t>
  </si>
  <si>
    <t>Agriculture and forestry</t>
  </si>
  <si>
    <t>1A3e</t>
  </si>
  <si>
    <t>Other non-specified transport</t>
  </si>
  <si>
    <t>Pipeline transport</t>
  </si>
  <si>
    <t>1A3d</t>
  </si>
  <si>
    <t>Domestic navigation</t>
  </si>
  <si>
    <r>
      <t>International navigation</t>
    </r>
    <r>
      <rPr>
        <vertAlign val="superscript"/>
        <sz val="11"/>
        <color theme="1"/>
        <rFont val="Arial"/>
        <family val="2"/>
      </rPr>
      <t>1</t>
    </r>
    <phoneticPr fontId="3" type="noConversion"/>
  </si>
  <si>
    <t>1A3c</t>
  </si>
  <si>
    <t>Rail</t>
  </si>
  <si>
    <t>1A3a</t>
  </si>
  <si>
    <t>Domestic aviation</t>
  </si>
  <si>
    <r>
      <t>International aviation</t>
    </r>
    <r>
      <rPr>
        <vertAlign val="superscript"/>
        <sz val="11"/>
        <color theme="1"/>
        <rFont val="Arial"/>
        <family val="2"/>
      </rPr>
      <t>1</t>
    </r>
    <phoneticPr fontId="3" type="noConversion"/>
  </si>
  <si>
    <t>Transport</t>
  </si>
  <si>
    <t>2A1</t>
  </si>
  <si>
    <t>Process emissions in cement industry</t>
  </si>
  <si>
    <t>1A2m</t>
  </si>
  <si>
    <t>Other non-specified industries</t>
  </si>
  <si>
    <t>1A2l</t>
  </si>
  <si>
    <t>Textile and leather</t>
  </si>
  <si>
    <t>1A2k</t>
  </si>
  <si>
    <t>Construction</t>
  </si>
  <si>
    <t>1A2j</t>
  </si>
  <si>
    <t>Wood products</t>
  </si>
  <si>
    <t>1A2i</t>
  </si>
  <si>
    <t>Mining and quarrying</t>
  </si>
  <si>
    <t>1A2h</t>
  </si>
  <si>
    <t>Machinery</t>
  </si>
  <si>
    <t>1A2g</t>
  </si>
  <si>
    <t>Transport equipment</t>
  </si>
  <si>
    <t>1A2f</t>
  </si>
  <si>
    <t>Other non-metallic minerals</t>
  </si>
  <si>
    <t>Cement</t>
  </si>
  <si>
    <t>1A2e</t>
  </si>
  <si>
    <t>Food and tobacco</t>
  </si>
  <si>
    <t>1A2d</t>
  </si>
  <si>
    <t>Pulp and paper</t>
  </si>
  <si>
    <t>1A2c</t>
  </si>
  <si>
    <t>Chemicals</t>
  </si>
  <si>
    <t>1A2b</t>
  </si>
  <si>
    <t>Non-ferrous metals</t>
  </si>
  <si>
    <t>1A2a</t>
  </si>
  <si>
    <t>Iron and steel</t>
  </si>
  <si>
    <t>1A1b and 1A1c</t>
  </si>
  <si>
    <t>Non-specified transformation industries</t>
  </si>
  <si>
    <t>Charcoal production plants</t>
  </si>
  <si>
    <t>Own use in electricity, CHP and heat plants</t>
  </si>
  <si>
    <t>Gas-to-liquids (GTL) plants</t>
  </si>
  <si>
    <t>Liquefaction (LNG) / regasification plants</t>
  </si>
  <si>
    <t>Coal liquefaction plants</t>
  </si>
  <si>
    <t>Oil refineries</t>
  </si>
  <si>
    <t>BKB/peat briquette plants</t>
  </si>
  <si>
    <t>Patent fuel plants</t>
  </si>
  <si>
    <t>Coke ovens</t>
  </si>
  <si>
    <t>Gasification plants for biogases</t>
  </si>
  <si>
    <t>Gas works</t>
  </si>
  <si>
    <t>Blast furnaces</t>
  </si>
  <si>
    <t>Oil and gas extraction</t>
  </si>
  <si>
    <t>Coal mines</t>
  </si>
  <si>
    <t>Industries and construction</t>
  </si>
  <si>
    <t>1A1a</t>
  </si>
  <si>
    <t>Heat (public)</t>
  </si>
  <si>
    <t>Heat (auto producer)</t>
  </si>
  <si>
    <t>CHP (public)</t>
  </si>
  <si>
    <t>CHP (auto producer)</t>
  </si>
  <si>
    <t>Power generation (public)</t>
  </si>
  <si>
    <t>Power generation (auto producer)</t>
  </si>
  <si>
    <t>Electricity and heat production</t>
    <phoneticPr fontId="3" type="noConversion"/>
  </si>
  <si>
    <t>IPCC 2006 Code Category</t>
    <phoneticPr fontId="3" type="noConversion"/>
  </si>
  <si>
    <r>
      <t>Sector in MEIC-China-CO</t>
    </r>
    <r>
      <rPr>
        <b/>
        <vertAlign val="subscript"/>
        <sz val="11"/>
        <color theme="1"/>
        <rFont val="Arial"/>
        <family val="2"/>
      </rPr>
      <t>2</t>
    </r>
    <phoneticPr fontId="3" type="noConversion"/>
  </si>
  <si>
    <t>Table 1. Definition of sectors</t>
    <phoneticPr fontId="3" type="noConversion"/>
  </si>
  <si>
    <t>The sectors used in all data tables are defined as below.</t>
    <phoneticPr fontId="3" type="noConversion"/>
  </si>
  <si>
    <r>
      <t xml:space="preserve">See </t>
    </r>
    <r>
      <rPr>
        <b/>
        <sz val="11"/>
        <color rgb="FF000000"/>
        <rFont val="Arial"/>
        <family val="2"/>
      </rPr>
      <t>Citation</t>
    </r>
    <r>
      <rPr>
        <sz val="11"/>
        <color indexed="8"/>
        <rFont val="Arial"/>
        <family val="2"/>
      </rPr>
      <t xml:space="preserve"> in "Data description" sheet</t>
    </r>
    <phoneticPr fontId="3" type="noConversion"/>
  </si>
  <si>
    <t>http://meicmodel.org.cn</t>
    <phoneticPr fontId="3" type="noConversion"/>
  </si>
  <si>
    <t>by province</t>
    <phoneticPr fontId="3" type="noConversion"/>
  </si>
  <si>
    <t>total</t>
    <phoneticPr fontId="3" type="noConversion"/>
  </si>
  <si>
    <r>
      <t>million tonnes of CO</t>
    </r>
    <r>
      <rPr>
        <vertAlign val="subscript"/>
        <sz val="11"/>
        <color rgb="FF000000"/>
        <rFont val="Arial"/>
        <family val="2"/>
      </rPr>
      <t>2</t>
    </r>
    <phoneticPr fontId="3" type="noConversion"/>
  </si>
  <si>
    <t>Time period</t>
    <phoneticPr fontId="3" type="noConversion"/>
  </si>
  <si>
    <t>Spatial resolution</t>
    <phoneticPr fontId="3" type="noConversion"/>
  </si>
  <si>
    <t>Aggregation level</t>
    <phoneticPr fontId="3" type="noConversion"/>
  </si>
  <si>
    <t>Unit</t>
    <phoneticPr fontId="3" type="noConversion"/>
  </si>
  <si>
    <t>Reference</t>
    <phoneticPr fontId="3" type="noConversion"/>
  </si>
  <si>
    <t>Data source</t>
    <phoneticPr fontId="3" type="noConversion"/>
  </si>
  <si>
    <r>
      <t>When using MEIC-China CO</t>
    </r>
    <r>
      <rPr>
        <vertAlign val="subscript"/>
        <sz val="11"/>
        <color theme="1"/>
        <rFont val="Arial"/>
        <family val="2"/>
      </rPr>
      <t>2</t>
    </r>
    <r>
      <rPr>
        <sz val="11"/>
        <color theme="1"/>
        <rFont val="Arial"/>
        <family val="2"/>
      </rPr>
      <t xml:space="preserve"> emission data, the MEIC website (http://meicmodel.org.cn/) and the following papers should be citied:</t>
    </r>
    <phoneticPr fontId="3" type="noConversion"/>
  </si>
  <si>
    <r>
      <t>MEIC-China-CO</t>
    </r>
    <r>
      <rPr>
        <vertAlign val="subscript"/>
        <sz val="11"/>
        <color theme="1"/>
        <rFont val="Arial"/>
        <family val="2"/>
      </rPr>
      <t>2</t>
    </r>
    <r>
      <rPr>
        <sz val="11"/>
        <color theme="1"/>
        <rFont val="Arial"/>
        <family val="2"/>
      </rPr>
      <t xml:space="preserve"> dataset provides China’s anthropogenic CO</t>
    </r>
    <r>
      <rPr>
        <vertAlign val="subscript"/>
        <sz val="11"/>
        <color theme="1"/>
        <rFont val="Arial"/>
        <family val="2"/>
      </rPr>
      <t>2</t>
    </r>
    <r>
      <rPr>
        <sz val="11"/>
        <color theme="1"/>
        <rFont val="Arial"/>
        <family val="2"/>
      </rPr>
      <t xml:space="preserve"> emission estimates from fossil fuel combustion and cement process which covers 31 provinces in mainland China. Emissions were estimated from ~1800 source categories in 55 sectors and 42 fossil fuel types. This table provides aggregated emission data by province for four major sectors and four fuel types. Please see "Definition of sectors" and "Definition of fuel type" sheets for the definition and mapping of detailed source categories. At present, emission data are available for the period of 1990-2021 and will be updated annually.</t>
    </r>
    <phoneticPr fontId="3" type="noConversion"/>
  </si>
  <si>
    <r>
      <t>About MEIC-China CO</t>
    </r>
    <r>
      <rPr>
        <b/>
        <vertAlign val="subscript"/>
        <sz val="11"/>
        <color theme="1"/>
        <rFont val="Arial"/>
        <family val="2"/>
      </rPr>
      <t>2</t>
    </r>
    <r>
      <rPr>
        <b/>
        <sz val="11"/>
        <color theme="1"/>
        <rFont val="Arial"/>
        <family val="2"/>
      </rPr>
      <t xml:space="preserve"> emissions</t>
    </r>
    <phoneticPr fontId="3" type="noConversion"/>
  </si>
  <si>
    <r>
      <t>Multi-resolution Emission Inventory model for Climate and air pollution research (MEIC) - China CO</t>
    </r>
    <r>
      <rPr>
        <b/>
        <vertAlign val="subscript"/>
        <sz val="11"/>
        <color theme="1"/>
        <rFont val="Arial"/>
        <family val="2"/>
      </rPr>
      <t>2</t>
    </r>
    <r>
      <rPr>
        <b/>
        <sz val="11"/>
        <color theme="1"/>
        <rFont val="Arial"/>
        <family val="2"/>
      </rPr>
      <t xml:space="preserve"> emission database</t>
    </r>
    <phoneticPr fontId="3" type="noConversion"/>
  </si>
  <si>
    <r>
      <t>MEIC - China CO</t>
    </r>
    <r>
      <rPr>
        <b/>
        <vertAlign val="subscript"/>
        <sz val="11"/>
        <color rgb="FF000000"/>
        <rFont val="Arial"/>
        <family val="2"/>
      </rPr>
      <t>2</t>
    </r>
    <r>
      <rPr>
        <b/>
        <sz val="11"/>
        <color indexed="8"/>
        <rFont val="Arial"/>
        <family val="2"/>
      </rPr>
      <t xml:space="preserve"> emission database (last update: 2025-07-10)</t>
    </r>
    <phoneticPr fontId="3" type="noConversion"/>
  </si>
  <si>
    <t>Li, M., Liu, H., Geng, G., Hong, C., Liu, F., Song, Y., Tong, D., Zheng, B., Cui, H., Man, H., Zhang, Q., and He, K.: Anthropogenic emission inventories in China: a review, Natl. Sci. Rev., 4, 834-866, doi: 10.1093/nsr/nwx150, 2017.
Zheng, B., Tong, D., Li, M., Liu, F., Hong, C., Geng, G., Li, H., Li, X., Peng, L., Qi, J., Yan, L., Zhang, Y., Zhao, H., Zheng, Y., He, K., and Zhang, Q.: Trends in China’s anthropogenic emissions since 2010 as the consequence of clean air actions, Atmos. Chem. Phys., 18, 14095-14111, doi: 10.5194/acp-18-14095-2018, 2018.
Xu, R., Tong, D., Xiao, Q., Qin, X., Chen, C., Yan, L., Cheng, J., Cui, C., Hu, H., Liu, W., Yan, X., Wang, H., Liu, X., Geng, G., Lei, Y., Guan, D., He, K., and Zhang, Q.: MEIC-global-CO2: A new global CO2 emission inventory with highly-resolved source category and sub-country information, Science China Earth Sciences, 67(2), 450–465, doi:10.1007/s11430-023-1230-3, 2023.</t>
    <phoneticPr fontId="3" type="noConversion"/>
  </si>
  <si>
    <t>1990-2023</t>
  </si>
  <si>
    <t>Beijing</t>
  </si>
  <si>
    <t>110000</t>
  </si>
  <si>
    <t>total</t>
  </si>
  <si>
    <t>Tianjin</t>
  </si>
  <si>
    <t>120000</t>
  </si>
  <si>
    <t>Hebei</t>
  </si>
  <si>
    <t>130000</t>
  </si>
  <si>
    <t>Shanxi</t>
  </si>
  <si>
    <t>140000</t>
  </si>
  <si>
    <t>Inner Mongolia</t>
  </si>
  <si>
    <t>150000</t>
  </si>
  <si>
    <t>Liaoning</t>
  </si>
  <si>
    <t>210000</t>
  </si>
  <si>
    <t>Jilin</t>
  </si>
  <si>
    <t>220000</t>
  </si>
  <si>
    <t>Heilongjiang</t>
  </si>
  <si>
    <t>230000</t>
  </si>
  <si>
    <t>Shanghai</t>
  </si>
  <si>
    <t>310000</t>
  </si>
  <si>
    <t>Jiangsu</t>
  </si>
  <si>
    <t>320000</t>
  </si>
  <si>
    <t>Zhejiang</t>
  </si>
  <si>
    <t>330000</t>
  </si>
  <si>
    <t>Anhui</t>
  </si>
  <si>
    <t>340000</t>
  </si>
  <si>
    <t>Fujian</t>
  </si>
  <si>
    <t>350000</t>
  </si>
  <si>
    <t>Jiangxi</t>
  </si>
  <si>
    <t>360000</t>
  </si>
  <si>
    <t>Shandong</t>
  </si>
  <si>
    <t>370000</t>
  </si>
  <si>
    <t>Henan</t>
  </si>
  <si>
    <t>410000</t>
  </si>
  <si>
    <t>Hubei</t>
  </si>
  <si>
    <t>420000</t>
  </si>
  <si>
    <t>Hunan</t>
  </si>
  <si>
    <t>430000</t>
  </si>
  <si>
    <t>Guangdong</t>
  </si>
  <si>
    <t>440000</t>
  </si>
  <si>
    <t>Guangxi</t>
  </si>
  <si>
    <t>450000</t>
  </si>
  <si>
    <t>Hainan</t>
  </si>
  <si>
    <t>460000</t>
  </si>
  <si>
    <t>Chongqing</t>
  </si>
  <si>
    <t>500000</t>
  </si>
  <si>
    <t>Sichuan</t>
  </si>
  <si>
    <t>510000</t>
  </si>
  <si>
    <t>Guizhou</t>
  </si>
  <si>
    <t>520000</t>
  </si>
  <si>
    <t>Yunnan</t>
  </si>
  <si>
    <t>530000</t>
  </si>
  <si>
    <t>Tibet</t>
  </si>
  <si>
    <t>540000</t>
  </si>
  <si>
    <t>Shaanxi</t>
  </si>
  <si>
    <t>610000</t>
  </si>
  <si>
    <t>Gansu</t>
  </si>
  <si>
    <t>620000</t>
  </si>
  <si>
    <t>Qinghai</t>
  </si>
  <si>
    <t>630000</t>
  </si>
  <si>
    <t>Ningxia</t>
  </si>
  <si>
    <t>640000</t>
  </si>
  <si>
    <t>Xinjiang</t>
  </si>
  <si>
    <t>650000</t>
  </si>
  <si>
    <t>实际碳排放总量</t>
    <phoneticPr fontId="3" type="noConversion"/>
  </si>
  <si>
    <t>公式计算碳排放量</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</si>
</sst>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等线"/>
      <family val="2"/>
      <charset val="134"/>
      <scheme val="minor"/>
    </font>
    <font>
      <sz val="11"/>
      <color theme="1"/>
      <name val="等线"/>
      <family val="2"/>
      <scheme val="minor"/>
    </font>
    <font>
      <sz val="11"/>
      <color theme="1"/>
      <name val="Arial"/>
      <family val="2"/>
    </font>
    <font>
      <sz val="9"/>
      <name val="等线"/>
      <family val="2"/>
      <charset val="134"/>
      <scheme val="minor"/>
    </font>
    <font>
      <sz val="11"/>
      <color indexed="8"/>
      <name val="Calibri"/>
      <family val="2"/>
    </font>
    <font>
      <u/>
      <sz val="11"/>
      <color theme="10"/>
      <name val="等线"/>
      <family val="2"/>
      <scheme val="minor"/>
    </font>
    <font>
      <sz val="11"/>
      <color indexed="8"/>
      <name val="Arial"/>
      <family val="2"/>
    </font>
    <font>
      <b/>
      <sz val="11"/>
      <color indexed="8"/>
      <name val="Arial"/>
      <family val="2"/>
    </font>
    <font>
      <b/>
      <sz val="11"/>
      <color theme="1"/>
      <name val="Arial"/>
      <family val="2"/>
    </font>
    <font>
      <sz val="11"/>
      <color theme="1"/>
      <name val="等线"/>
      <family val="3"/>
      <charset val="134"/>
      <scheme val="minor"/>
    </font>
    <font>
      <vertAlign val="subscript"/>
      <sz val="11"/>
      <color theme="1"/>
      <name val="Arial"/>
      <family val="2"/>
    </font>
    <font>
      <b/>
      <vertAlign val="subscript"/>
      <sz val="11"/>
      <color theme="1"/>
      <name val="Arial"/>
      <family val="2"/>
    </font>
    <font>
      <vertAlign val="superscript"/>
      <sz val="11"/>
      <color theme="1"/>
      <name val="Arial"/>
      <family val="2"/>
    </font>
    <font>
      <b/>
      <vertAlign val="subscript"/>
      <sz val="11"/>
      <color rgb="FF000000"/>
      <name val="Arial"/>
      <family val="2"/>
    </font>
    <font>
      <vertAlign val="subscript"/>
      <sz val="11"/>
      <color rgb="FF000000"/>
      <name val="Arial"/>
      <family val="2"/>
    </font>
    <font>
      <b/>
      <sz val="11"/>
      <color rgb="FF000000"/>
      <name val="Arial"/>
      <family val="2"/>
    </font>
    <font>
      <b/>
      <sz val="12"/>
      <color rgb="FF000000"/>
      <name val="Arial"/>
      <family val="2"/>
    </font>
    <font>
      <sz val="11"/>
      <color theme="1"/>
      <name val="宋体"/>
      <family val="2"/>
      <charset val="134"/>
    </font>
  </fonts>
  <fills count="2">
    <fill>
      <patternFill patternType="none"/>
    </fill>
    <fill>
      <patternFill patternType="gray125"/>
    </fill>
  </fills>
  <borders count="10">
    <border>
      <left/>
      <right/>
      <top/>
      <bottom/>
      <diagonal/>
    </border>
    <border>
      <left/>
      <right/>
      <top style="thick">
        <color auto="1"/>
      </top>
      <bottom style="thick">
        <color auto="1"/>
      </bottom>
      <diagonal/>
    </border>
    <border>
      <left/>
      <right/>
      <top/>
      <bottom style="medium">
        <color auto="1"/>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style="medium">
        <color auto="1"/>
      </top>
      <bottom/>
      <diagonal/>
    </border>
    <border>
      <left/>
      <right/>
      <top style="medium">
        <color auto="1"/>
      </top>
      <bottom style="medium">
        <color auto="1"/>
      </bottom>
      <diagonal/>
    </border>
    <border>
      <left/>
      <right/>
      <top/>
      <bottom style="thick">
        <color auto="1"/>
      </bottom>
      <diagonal/>
    </border>
    <border>
      <left/>
      <right/>
      <top style="thick">
        <color auto="1"/>
      </top>
      <bottom/>
      <diagonal/>
    </border>
  </borders>
  <cellStyleXfs count="6">
    <xf numFmtId="0" fontId="0" fillId="0" borderId="0">
      <alignment vertical="center"/>
    </xf>
    <xf numFmtId="0" fontId="4" fillId="0" borderId="0" applyFill="0" applyProtection="0"/>
    <xf numFmtId="0" fontId="5" fillId="0" borderId="0" applyNumberFormat="0" applyFill="0" applyBorder="0" applyAlignment="0" applyProtection="0"/>
    <xf numFmtId="0" fontId="1" fillId="0" borderId="0"/>
    <xf numFmtId="0" fontId="4" fillId="0" borderId="0" applyFill="0" applyProtection="0"/>
    <xf numFmtId="0" fontId="9" fillId="0" borderId="0">
      <alignment vertical="center"/>
    </xf>
  </cellStyleXfs>
  <cellXfs count="34">
    <xf numFmtId="0" fontId="0" fillId="0" borderId="0" xfId="0">
      <alignment vertical="center"/>
    </xf>
    <xf numFmtId="0" fontId="2" fillId="0" borderId="0" xfId="0" applyFont="1">
      <alignment vertical="center"/>
    </xf>
    <xf numFmtId="0" fontId="6" fillId="0" borderId="0" xfId="4" applyFont="1" applyFill="1" applyProtection="1"/>
    <xf numFmtId="0" fontId="6" fillId="0" borderId="0" xfId="3" applyFont="1"/>
    <xf numFmtId="0" fontId="6" fillId="0" borderId="0" xfId="1" applyFont="1"/>
    <xf numFmtId="0" fontId="7" fillId="0" borderId="0" xfId="4" applyFont="1" applyFill="1" applyProtection="1"/>
    <xf numFmtId="0" fontId="8" fillId="0" borderId="1" xfId="0" applyFont="1" applyBorder="1" applyAlignment="1">
      <alignment horizontal="center" vertical="center"/>
    </xf>
    <xf numFmtId="0" fontId="2" fillId="0" borderId="0" xfId="0" applyFont="1" applyAlignment="1">
      <alignment horizontal="center" vertical="center"/>
    </xf>
    <xf numFmtId="0" fontId="2" fillId="0" borderId="0" xfId="5" applyFont="1">
      <alignment vertical="center"/>
    </xf>
    <xf numFmtId="0" fontId="2" fillId="0" borderId="0" xfId="5" applyFont="1" applyAlignment="1">
      <alignment vertical="center" wrapText="1"/>
    </xf>
    <xf numFmtId="0" fontId="8" fillId="0" borderId="0" xfId="5" applyFont="1">
      <alignment vertical="center"/>
    </xf>
    <xf numFmtId="0" fontId="8" fillId="0" borderId="0" xfId="5" applyFont="1" applyAlignment="1">
      <alignment vertical="center" wrapText="1"/>
    </xf>
    <xf numFmtId="0" fontId="12" fillId="0" borderId="0" xfId="0" applyFo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8" fillId="0" borderId="7" xfId="0" applyFont="1" applyBorder="1" applyAlignment="1">
      <alignment horizontal="center" vertical="center"/>
    </xf>
    <xf numFmtId="0" fontId="8" fillId="0" borderId="0" xfId="0" applyFont="1">
      <alignment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5" fillId="0" borderId="0" xfId="2"/>
    <xf numFmtId="0" fontId="16" fillId="0" borderId="0" xfId="0" applyFont="1">
      <alignment vertical="center"/>
    </xf>
    <xf numFmtId="0" fontId="2" fillId="0" borderId="0" xfId="0" applyFont="1" applyAlignment="1">
      <alignment horizontal="justify" vertical="center"/>
    </xf>
    <xf numFmtId="0" fontId="2" fillId="0" borderId="6" xfId="0" applyFont="1"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2" fillId="0" borderId="9" xfId="0" applyFont="1" applyBorder="1" applyAlignment="1">
      <alignment horizontal="center" vertical="center"/>
    </xf>
    <xf numFmtId="0" fontId="0" fillId="0" borderId="8" xfId="0" applyBorder="1" applyAlignment="1">
      <alignment horizontal="center" vertical="center"/>
    </xf>
    <xf numFmtId="0" fontId="17" fillId="0" borderId="0" xfId="0" applyFont="1">
      <alignment vertical="center"/>
    </xf>
  </cellXfs>
  <cellStyles count="6">
    <cellStyle name="Normal 2" xfId="3" xr:uid="{00000000-0005-0000-0000-000000000000}"/>
    <cellStyle name="Normal 3" xfId="4" xr:uid="{00000000-0005-0000-0000-000001000000}"/>
    <cellStyle name="常规" xfId="0" builtinId="0"/>
    <cellStyle name="常规 2" xfId="1" xr:uid="{00000000-0005-0000-0000-000003000000}"/>
    <cellStyle name="常规 3" xfId="5" xr:uid="{00000000-0005-0000-0000-000004000000}"/>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meicmodel.org.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zoomScale="102" zoomScaleNormal="102" workbookViewId="0">
      <selection activeCell="A21" sqref="A21"/>
    </sheetView>
  </sheetViews>
  <sheetFormatPr defaultColWidth="8.77734375" defaultRowHeight="13.8" x14ac:dyDescent="0.25"/>
  <cols>
    <col min="1" max="1" width="179.109375" style="8" customWidth="1"/>
    <col min="2" max="16384" width="8.77734375" style="8"/>
  </cols>
  <sheetData>
    <row r="1" spans="1:1" ht="16.2" x14ac:dyDescent="0.25">
      <c r="A1" s="10" t="s">
        <v>164</v>
      </c>
    </row>
    <row r="2" spans="1:1" x14ac:dyDescent="0.25">
      <c r="A2" s="10"/>
    </row>
    <row r="3" spans="1:1" ht="18" customHeight="1" x14ac:dyDescent="0.25">
      <c r="A3" s="10" t="s">
        <v>163</v>
      </c>
    </row>
    <row r="4" spans="1:1" ht="76.2" customHeight="1" x14ac:dyDescent="0.25">
      <c r="A4" s="24" t="s">
        <v>162</v>
      </c>
    </row>
    <row r="5" spans="1:1" x14ac:dyDescent="0.25">
      <c r="A5" s="9"/>
    </row>
    <row r="6" spans="1:1" x14ac:dyDescent="0.25">
      <c r="A6" s="10" t="s">
        <v>7</v>
      </c>
    </row>
    <row r="7" spans="1:1" x14ac:dyDescent="0.25">
      <c r="A7" s="8" t="s">
        <v>6</v>
      </c>
    </row>
    <row r="8" spans="1:1" x14ac:dyDescent="0.25">
      <c r="A8" s="11"/>
    </row>
    <row r="9" spans="1:1" x14ac:dyDescent="0.25">
      <c r="A9" s="10" t="s">
        <v>5</v>
      </c>
    </row>
    <row r="10" spans="1:1" ht="16.2" x14ac:dyDescent="0.25">
      <c r="A10" s="8" t="s">
        <v>161</v>
      </c>
    </row>
    <row r="11" spans="1:1" ht="82.8" x14ac:dyDescent="0.25">
      <c r="A11" s="9" t="s">
        <v>166</v>
      </c>
    </row>
    <row r="12" spans="1:1" ht="15.6" x14ac:dyDescent="0.25">
      <c r="A12" s="23"/>
    </row>
    <row r="13" spans="1:1" x14ac:dyDescent="0.25">
      <c r="A13" s="10" t="s">
        <v>4</v>
      </c>
    </row>
    <row r="14" spans="1:1" x14ac:dyDescent="0.25">
      <c r="A14" s="8" t="s">
        <v>3</v>
      </c>
    </row>
    <row r="16" spans="1:1" x14ac:dyDescent="0.25">
      <c r="A16" s="9"/>
    </row>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2"/>
  <sheetViews>
    <sheetView zoomScale="80" zoomScaleNormal="80" workbookViewId="0">
      <selection activeCell="C40" sqref="C40"/>
    </sheetView>
  </sheetViews>
  <sheetFormatPr defaultColWidth="8.77734375" defaultRowHeight="13.8" x14ac:dyDescent="0.25"/>
  <cols>
    <col min="1" max="1" width="8.77734375" style="1"/>
    <col min="2" max="2" width="37.44140625" style="1" customWidth="1"/>
    <col min="3" max="3" width="51.6640625" style="1" customWidth="1"/>
    <col min="4" max="4" width="27.6640625" style="1" customWidth="1"/>
    <col min="5" max="5" width="10.6640625" style="1" customWidth="1"/>
    <col min="6" max="6" width="9.44140625" style="1" customWidth="1"/>
    <col min="7" max="16384" width="8.77734375" style="1"/>
  </cols>
  <sheetData>
    <row r="1" spans="1:4" ht="16.2" x14ac:dyDescent="0.35">
      <c r="A1" s="5" t="s">
        <v>165</v>
      </c>
    </row>
    <row r="2" spans="1:4" x14ac:dyDescent="0.25">
      <c r="A2" s="19" t="s">
        <v>149</v>
      </c>
    </row>
    <row r="5" spans="1:4" ht="14.4" thickBot="1" x14ac:dyDescent="0.3">
      <c r="B5" s="19" t="s">
        <v>148</v>
      </c>
    </row>
    <row r="6" spans="1:4" ht="17.399999999999999" thickTop="1" thickBot="1" x14ac:dyDescent="0.3">
      <c r="B6" s="6" t="s">
        <v>147</v>
      </c>
      <c r="C6" s="6" t="s">
        <v>57</v>
      </c>
      <c r="D6" s="6" t="s">
        <v>146</v>
      </c>
    </row>
    <row r="7" spans="1:4" ht="14.4" thickTop="1" x14ac:dyDescent="0.25">
      <c r="B7" s="31" t="s">
        <v>145</v>
      </c>
      <c r="C7" s="21" t="s">
        <v>144</v>
      </c>
      <c r="D7" s="21" t="s">
        <v>138</v>
      </c>
    </row>
    <row r="8" spans="1:4" x14ac:dyDescent="0.25">
      <c r="B8" s="26"/>
      <c r="C8" s="7" t="s">
        <v>143</v>
      </c>
      <c r="D8" s="7" t="s">
        <v>138</v>
      </c>
    </row>
    <row r="9" spans="1:4" x14ac:dyDescent="0.25">
      <c r="B9" s="26"/>
      <c r="C9" s="7" t="s">
        <v>142</v>
      </c>
      <c r="D9" s="7" t="s">
        <v>138</v>
      </c>
    </row>
    <row r="10" spans="1:4" x14ac:dyDescent="0.25">
      <c r="B10" s="26"/>
      <c r="C10" s="7" t="s">
        <v>141</v>
      </c>
      <c r="D10" s="7" t="s">
        <v>138</v>
      </c>
    </row>
    <row r="11" spans="1:4" x14ac:dyDescent="0.25">
      <c r="B11" s="26"/>
      <c r="C11" s="7" t="s">
        <v>140</v>
      </c>
      <c r="D11" s="7" t="s">
        <v>138</v>
      </c>
    </row>
    <row r="12" spans="1:4" x14ac:dyDescent="0.25">
      <c r="B12" s="27"/>
      <c r="C12" s="14" t="s">
        <v>139</v>
      </c>
      <c r="D12" s="14" t="s">
        <v>138</v>
      </c>
    </row>
    <row r="13" spans="1:4" x14ac:dyDescent="0.25">
      <c r="B13" s="28" t="s">
        <v>137</v>
      </c>
      <c r="C13" s="15" t="s">
        <v>136</v>
      </c>
      <c r="D13" s="15" t="s">
        <v>121</v>
      </c>
    </row>
    <row r="14" spans="1:4" x14ac:dyDescent="0.25">
      <c r="B14" s="29"/>
      <c r="C14" s="7" t="s">
        <v>135</v>
      </c>
      <c r="D14" s="7" t="s">
        <v>121</v>
      </c>
    </row>
    <row r="15" spans="1:4" x14ac:dyDescent="0.25">
      <c r="B15" s="29"/>
      <c r="C15" s="7" t="s">
        <v>134</v>
      </c>
      <c r="D15" s="7" t="s">
        <v>121</v>
      </c>
    </row>
    <row r="16" spans="1:4" x14ac:dyDescent="0.25">
      <c r="B16" s="29"/>
      <c r="C16" s="7" t="s">
        <v>133</v>
      </c>
      <c r="D16" s="7" t="s">
        <v>121</v>
      </c>
    </row>
    <row r="17" spans="2:4" x14ac:dyDescent="0.25">
      <c r="B17" s="29"/>
      <c r="C17" s="7" t="s">
        <v>132</v>
      </c>
      <c r="D17" s="7" t="s">
        <v>121</v>
      </c>
    </row>
    <row r="18" spans="2:4" x14ac:dyDescent="0.25">
      <c r="B18" s="29"/>
      <c r="C18" s="7" t="s">
        <v>131</v>
      </c>
      <c r="D18" s="7" t="s">
        <v>121</v>
      </c>
    </row>
    <row r="19" spans="2:4" x14ac:dyDescent="0.25">
      <c r="B19" s="29"/>
      <c r="C19" s="7" t="s">
        <v>130</v>
      </c>
      <c r="D19" s="7" t="s">
        <v>121</v>
      </c>
    </row>
    <row r="20" spans="2:4" x14ac:dyDescent="0.25">
      <c r="B20" s="29"/>
      <c r="C20" s="7" t="s">
        <v>129</v>
      </c>
      <c r="D20" s="7" t="s">
        <v>121</v>
      </c>
    </row>
    <row r="21" spans="2:4" x14ac:dyDescent="0.25">
      <c r="B21" s="29"/>
      <c r="C21" s="7" t="s">
        <v>128</v>
      </c>
      <c r="D21" s="7" t="s">
        <v>121</v>
      </c>
    </row>
    <row r="22" spans="2:4" x14ac:dyDescent="0.25">
      <c r="B22" s="29"/>
      <c r="C22" s="7" t="s">
        <v>127</v>
      </c>
      <c r="D22" s="7" t="s">
        <v>121</v>
      </c>
    </row>
    <row r="23" spans="2:4" x14ac:dyDescent="0.25">
      <c r="B23" s="29"/>
      <c r="C23" s="7" t="s">
        <v>126</v>
      </c>
      <c r="D23" s="7" t="s">
        <v>121</v>
      </c>
    </row>
    <row r="24" spans="2:4" x14ac:dyDescent="0.25">
      <c r="B24" s="29"/>
      <c r="C24" s="7" t="s">
        <v>125</v>
      </c>
      <c r="D24" s="7" t="s">
        <v>121</v>
      </c>
    </row>
    <row r="25" spans="2:4" x14ac:dyDescent="0.25">
      <c r="B25" s="29"/>
      <c r="C25" s="7" t="s">
        <v>124</v>
      </c>
      <c r="D25" s="7" t="s">
        <v>121</v>
      </c>
    </row>
    <row r="26" spans="2:4" x14ac:dyDescent="0.25">
      <c r="B26" s="29"/>
      <c r="C26" s="7" t="s">
        <v>123</v>
      </c>
      <c r="D26" s="7" t="s">
        <v>121</v>
      </c>
    </row>
    <row r="27" spans="2:4" x14ac:dyDescent="0.25">
      <c r="B27" s="29"/>
      <c r="C27" s="7" t="s">
        <v>122</v>
      </c>
      <c r="D27" s="7" t="s">
        <v>121</v>
      </c>
    </row>
    <row r="28" spans="2:4" x14ac:dyDescent="0.25">
      <c r="B28" s="29"/>
      <c r="C28" s="7" t="s">
        <v>120</v>
      </c>
      <c r="D28" s="7" t="s">
        <v>119</v>
      </c>
    </row>
    <row r="29" spans="2:4" x14ac:dyDescent="0.25">
      <c r="B29" s="29"/>
      <c r="C29" s="7" t="s">
        <v>118</v>
      </c>
      <c r="D29" s="7" t="s">
        <v>117</v>
      </c>
    </row>
    <row r="30" spans="2:4" x14ac:dyDescent="0.25">
      <c r="B30" s="29"/>
      <c r="C30" s="7" t="s">
        <v>116</v>
      </c>
      <c r="D30" s="7" t="s">
        <v>115</v>
      </c>
    </row>
    <row r="31" spans="2:4" x14ac:dyDescent="0.25">
      <c r="B31" s="29"/>
      <c r="C31" s="7" t="s">
        <v>114</v>
      </c>
      <c r="D31" s="7" t="s">
        <v>113</v>
      </c>
    </row>
    <row r="32" spans="2:4" x14ac:dyDescent="0.25">
      <c r="B32" s="29"/>
      <c r="C32" s="7" t="s">
        <v>112</v>
      </c>
      <c r="D32" s="7" t="s">
        <v>111</v>
      </c>
    </row>
    <row r="33" spans="2:4" x14ac:dyDescent="0.25">
      <c r="B33" s="29"/>
      <c r="C33" s="7" t="s">
        <v>110</v>
      </c>
      <c r="D33" s="7" t="s">
        <v>108</v>
      </c>
    </row>
    <row r="34" spans="2:4" x14ac:dyDescent="0.25">
      <c r="B34" s="29"/>
      <c r="C34" s="7" t="s">
        <v>109</v>
      </c>
      <c r="D34" s="7" t="s">
        <v>108</v>
      </c>
    </row>
    <row r="35" spans="2:4" x14ac:dyDescent="0.25">
      <c r="B35" s="29"/>
      <c r="C35" s="7" t="s">
        <v>107</v>
      </c>
      <c r="D35" s="7" t="s">
        <v>106</v>
      </c>
    </row>
    <row r="36" spans="2:4" x14ac:dyDescent="0.25">
      <c r="B36" s="29"/>
      <c r="C36" s="7" t="s">
        <v>105</v>
      </c>
      <c r="D36" s="7" t="s">
        <v>104</v>
      </c>
    </row>
    <row r="37" spans="2:4" x14ac:dyDescent="0.25">
      <c r="B37" s="29"/>
      <c r="C37" s="7" t="s">
        <v>103</v>
      </c>
      <c r="D37" s="7" t="s">
        <v>102</v>
      </c>
    </row>
    <row r="38" spans="2:4" x14ac:dyDescent="0.25">
      <c r="B38" s="29"/>
      <c r="C38" s="7" t="s">
        <v>101</v>
      </c>
      <c r="D38" s="7" t="s">
        <v>100</v>
      </c>
    </row>
    <row r="39" spans="2:4" x14ac:dyDescent="0.25">
      <c r="B39" s="29"/>
      <c r="C39" s="7" t="s">
        <v>99</v>
      </c>
      <c r="D39" s="7" t="s">
        <v>98</v>
      </c>
    </row>
    <row r="40" spans="2:4" x14ac:dyDescent="0.25">
      <c r="B40" s="29"/>
      <c r="C40" s="7" t="s">
        <v>97</v>
      </c>
      <c r="D40" s="7" t="s">
        <v>96</v>
      </c>
    </row>
    <row r="41" spans="2:4" x14ac:dyDescent="0.25">
      <c r="B41" s="29"/>
      <c r="C41" s="7" t="s">
        <v>95</v>
      </c>
      <c r="D41" s="7" t="s">
        <v>94</v>
      </c>
    </row>
    <row r="42" spans="2:4" x14ac:dyDescent="0.25">
      <c r="B42" s="30"/>
      <c r="C42" s="14" t="s">
        <v>93</v>
      </c>
      <c r="D42" s="14" t="s">
        <v>92</v>
      </c>
    </row>
    <row r="43" spans="2:4" ht="16.2" x14ac:dyDescent="0.25">
      <c r="B43" s="28" t="s">
        <v>91</v>
      </c>
      <c r="C43" s="15" t="s">
        <v>90</v>
      </c>
      <c r="D43" s="15" t="s">
        <v>88</v>
      </c>
    </row>
    <row r="44" spans="2:4" x14ac:dyDescent="0.25">
      <c r="B44" s="26"/>
      <c r="C44" s="7" t="s">
        <v>89</v>
      </c>
      <c r="D44" s="7" t="s">
        <v>88</v>
      </c>
    </row>
    <row r="45" spans="2:4" x14ac:dyDescent="0.25">
      <c r="B45" s="26"/>
      <c r="C45" s="7" t="s">
        <v>87</v>
      </c>
      <c r="D45" s="7" t="s">
        <v>86</v>
      </c>
    </row>
    <row r="46" spans="2:4" ht="16.2" x14ac:dyDescent="0.25">
      <c r="B46" s="26"/>
      <c r="C46" s="7" t="s">
        <v>85</v>
      </c>
      <c r="D46" s="7" t="s">
        <v>83</v>
      </c>
    </row>
    <row r="47" spans="2:4" x14ac:dyDescent="0.25">
      <c r="B47" s="26"/>
      <c r="C47" s="7" t="s">
        <v>84</v>
      </c>
      <c r="D47" s="7" t="s">
        <v>83</v>
      </c>
    </row>
    <row r="48" spans="2:4" x14ac:dyDescent="0.25">
      <c r="B48" s="26"/>
      <c r="C48" s="7" t="s">
        <v>82</v>
      </c>
      <c r="D48" s="7" t="s">
        <v>80</v>
      </c>
    </row>
    <row r="49" spans="2:4" x14ac:dyDescent="0.25">
      <c r="B49" s="26"/>
      <c r="C49" s="7" t="s">
        <v>81</v>
      </c>
      <c r="D49" s="7" t="s">
        <v>80</v>
      </c>
    </row>
    <row r="50" spans="2:4" x14ac:dyDescent="0.25">
      <c r="B50" s="26"/>
      <c r="C50" s="7" t="s">
        <v>79</v>
      </c>
      <c r="D50" s="7" t="s">
        <v>77</v>
      </c>
    </row>
    <row r="51" spans="2:4" x14ac:dyDescent="0.25">
      <c r="B51" s="26"/>
      <c r="C51" s="7" t="s">
        <v>78</v>
      </c>
      <c r="D51" s="7" t="s">
        <v>77</v>
      </c>
    </row>
    <row r="52" spans="2:4" x14ac:dyDescent="0.25">
      <c r="B52" s="26"/>
      <c r="C52" s="7" t="s">
        <v>76</v>
      </c>
      <c r="D52" s="7" t="s">
        <v>70</v>
      </c>
    </row>
    <row r="53" spans="2:4" x14ac:dyDescent="0.25">
      <c r="B53" s="26"/>
      <c r="C53" s="7" t="s">
        <v>75</v>
      </c>
      <c r="D53" s="7" t="s">
        <v>70</v>
      </c>
    </row>
    <row r="54" spans="2:4" x14ac:dyDescent="0.25">
      <c r="B54" s="26"/>
      <c r="C54" s="7" t="s">
        <v>74</v>
      </c>
      <c r="D54" s="7" t="s">
        <v>70</v>
      </c>
    </row>
    <row r="55" spans="2:4" x14ac:dyDescent="0.25">
      <c r="B55" s="26"/>
      <c r="C55" s="7" t="s">
        <v>73</v>
      </c>
      <c r="D55" s="7" t="s">
        <v>70</v>
      </c>
    </row>
    <row r="56" spans="2:4" x14ac:dyDescent="0.25">
      <c r="B56" s="26"/>
      <c r="C56" s="7" t="s">
        <v>72</v>
      </c>
      <c r="D56" s="7" t="s">
        <v>70</v>
      </c>
    </row>
    <row r="57" spans="2:4" x14ac:dyDescent="0.25">
      <c r="B57" s="27"/>
      <c r="C57" s="14" t="s">
        <v>71</v>
      </c>
      <c r="D57" s="14" t="s">
        <v>70</v>
      </c>
    </row>
    <row r="58" spans="2:4" x14ac:dyDescent="0.25">
      <c r="B58" s="28" t="s">
        <v>69</v>
      </c>
      <c r="C58" s="15" t="s">
        <v>68</v>
      </c>
      <c r="D58" s="15" t="s">
        <v>67</v>
      </c>
    </row>
    <row r="59" spans="2:4" x14ac:dyDescent="0.25">
      <c r="B59" s="26"/>
      <c r="C59" s="7" t="s">
        <v>66</v>
      </c>
      <c r="D59" s="7" t="s">
        <v>64</v>
      </c>
    </row>
    <row r="60" spans="2:4" x14ac:dyDescent="0.25">
      <c r="B60" s="26"/>
      <c r="C60" s="7" t="s">
        <v>65</v>
      </c>
      <c r="D60" s="7" t="s">
        <v>64</v>
      </c>
    </row>
    <row r="61" spans="2:4" ht="14.4" thickBot="1" x14ac:dyDescent="0.3">
      <c r="B61" s="32"/>
      <c r="C61" s="20" t="s">
        <v>63</v>
      </c>
      <c r="D61" s="20" t="s">
        <v>62</v>
      </c>
    </row>
    <row r="62" spans="2:4" ht="21" customHeight="1" thickTop="1" x14ac:dyDescent="0.25">
      <c r="B62" s="1" t="s">
        <v>61</v>
      </c>
    </row>
  </sheetData>
  <mergeCells count="4">
    <mergeCell ref="B7:B12"/>
    <mergeCell ref="B13:B42"/>
    <mergeCell ref="B43:B57"/>
    <mergeCell ref="B58:B61"/>
  </mergeCells>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0"/>
  <sheetViews>
    <sheetView zoomScale="80" zoomScaleNormal="80" workbookViewId="0"/>
  </sheetViews>
  <sheetFormatPr defaultColWidth="8.77734375" defaultRowHeight="13.8" x14ac:dyDescent="0.25"/>
  <cols>
    <col min="1" max="1" width="8.77734375" style="1"/>
    <col min="2" max="2" width="36.6640625" style="1" customWidth="1"/>
    <col min="3" max="3" width="46" style="1" customWidth="1"/>
    <col min="4" max="16384" width="8.77734375" style="1"/>
  </cols>
  <sheetData>
    <row r="1" spans="1:3" ht="16.2" x14ac:dyDescent="0.35">
      <c r="A1" s="5" t="s">
        <v>165</v>
      </c>
    </row>
    <row r="2" spans="1:3" x14ac:dyDescent="0.25">
      <c r="A2" s="19" t="s">
        <v>60</v>
      </c>
    </row>
    <row r="5" spans="1:3" ht="14.4" thickBot="1" x14ac:dyDescent="0.3">
      <c r="B5" s="19" t="s">
        <v>59</v>
      </c>
    </row>
    <row r="6" spans="1:3" ht="16.8" thickBot="1" x14ac:dyDescent="0.3">
      <c r="B6" s="18" t="s">
        <v>58</v>
      </c>
      <c r="C6" s="18" t="s">
        <v>57</v>
      </c>
    </row>
    <row r="7" spans="1:3" x14ac:dyDescent="0.25">
      <c r="B7" s="25" t="s">
        <v>56</v>
      </c>
      <c r="C7" s="17" t="s">
        <v>55</v>
      </c>
    </row>
    <row r="8" spans="1:3" x14ac:dyDescent="0.25">
      <c r="B8" s="26"/>
      <c r="C8" s="7" t="s">
        <v>54</v>
      </c>
    </row>
    <row r="9" spans="1:3" x14ac:dyDescent="0.25">
      <c r="B9" s="26"/>
      <c r="C9" s="7" t="s">
        <v>53</v>
      </c>
    </row>
    <row r="10" spans="1:3" x14ac:dyDescent="0.25">
      <c r="B10" s="26"/>
      <c r="C10" s="7" t="s">
        <v>52</v>
      </c>
    </row>
    <row r="11" spans="1:3" x14ac:dyDescent="0.25">
      <c r="B11" s="26"/>
      <c r="C11" s="7" t="s">
        <v>51</v>
      </c>
    </row>
    <row r="12" spans="1:3" x14ac:dyDescent="0.25">
      <c r="B12" s="26"/>
      <c r="C12" s="7" t="s">
        <v>50</v>
      </c>
    </row>
    <row r="13" spans="1:3" x14ac:dyDescent="0.25">
      <c r="B13" s="26"/>
      <c r="C13" s="7" t="s">
        <v>49</v>
      </c>
    </row>
    <row r="14" spans="1:3" x14ac:dyDescent="0.25">
      <c r="B14" s="26"/>
      <c r="C14" s="7" t="s">
        <v>48</v>
      </c>
    </row>
    <row r="15" spans="1:3" x14ac:dyDescent="0.25">
      <c r="B15" s="26"/>
      <c r="C15" s="7" t="s">
        <v>47</v>
      </c>
    </row>
    <row r="16" spans="1:3" x14ac:dyDescent="0.25">
      <c r="B16" s="26"/>
      <c r="C16" s="7" t="s">
        <v>46</v>
      </c>
    </row>
    <row r="17" spans="2:3" x14ac:dyDescent="0.25">
      <c r="B17" s="26"/>
      <c r="C17" s="7" t="s">
        <v>45</v>
      </c>
    </row>
    <row r="18" spans="2:3" x14ac:dyDescent="0.25">
      <c r="B18" s="26"/>
      <c r="C18" s="7" t="s">
        <v>44</v>
      </c>
    </row>
    <row r="19" spans="2:3" x14ac:dyDescent="0.25">
      <c r="B19" s="26"/>
      <c r="C19" s="7" t="s">
        <v>43</v>
      </c>
    </row>
    <row r="20" spans="2:3" x14ac:dyDescent="0.25">
      <c r="B20" s="27"/>
      <c r="C20" s="14" t="s">
        <v>42</v>
      </c>
    </row>
    <row r="21" spans="2:3" x14ac:dyDescent="0.25">
      <c r="B21" s="28" t="s">
        <v>41</v>
      </c>
      <c r="C21" s="15" t="s">
        <v>40</v>
      </c>
    </row>
    <row r="22" spans="2:3" x14ac:dyDescent="0.25">
      <c r="B22" s="29"/>
      <c r="C22" s="7" t="s">
        <v>39</v>
      </c>
    </row>
    <row r="23" spans="2:3" x14ac:dyDescent="0.25">
      <c r="B23" s="29"/>
      <c r="C23" s="7" t="s">
        <v>38</v>
      </c>
    </row>
    <row r="24" spans="2:3" x14ac:dyDescent="0.25">
      <c r="B24" s="29"/>
      <c r="C24" s="7" t="s">
        <v>37</v>
      </c>
    </row>
    <row r="25" spans="2:3" x14ac:dyDescent="0.25">
      <c r="B25" s="29"/>
      <c r="C25" s="7" t="s">
        <v>36</v>
      </c>
    </row>
    <row r="26" spans="2:3" x14ac:dyDescent="0.25">
      <c r="B26" s="29"/>
      <c r="C26" s="7" t="s">
        <v>35</v>
      </c>
    </row>
    <row r="27" spans="2:3" x14ac:dyDescent="0.25">
      <c r="B27" s="29"/>
      <c r="C27" s="7" t="s">
        <v>34</v>
      </c>
    </row>
    <row r="28" spans="2:3" x14ac:dyDescent="0.25">
      <c r="B28" s="29"/>
      <c r="C28" s="7" t="s">
        <v>33</v>
      </c>
    </row>
    <row r="29" spans="2:3" x14ac:dyDescent="0.25">
      <c r="B29" s="29"/>
      <c r="C29" s="7" t="s">
        <v>32</v>
      </c>
    </row>
    <row r="30" spans="2:3" x14ac:dyDescent="0.25">
      <c r="B30" s="29"/>
      <c r="C30" s="7" t="s">
        <v>31</v>
      </c>
    </row>
    <row r="31" spans="2:3" x14ac:dyDescent="0.25">
      <c r="B31" s="29"/>
      <c r="C31" s="7" t="s">
        <v>30</v>
      </c>
    </row>
    <row r="32" spans="2:3" x14ac:dyDescent="0.25">
      <c r="B32" s="29"/>
      <c r="C32" s="7" t="s">
        <v>29</v>
      </c>
    </row>
    <row r="33" spans="2:3" x14ac:dyDescent="0.25">
      <c r="B33" s="29"/>
      <c r="C33" s="7" t="s">
        <v>28</v>
      </c>
    </row>
    <row r="34" spans="2:3" x14ac:dyDescent="0.25">
      <c r="B34" s="29"/>
      <c r="C34" s="7" t="s">
        <v>27</v>
      </c>
    </row>
    <row r="35" spans="2:3" x14ac:dyDescent="0.25">
      <c r="B35" s="29"/>
      <c r="C35" s="7" t="s">
        <v>26</v>
      </c>
    </row>
    <row r="36" spans="2:3" x14ac:dyDescent="0.25">
      <c r="B36" s="29"/>
      <c r="C36" s="7" t="s">
        <v>25</v>
      </c>
    </row>
    <row r="37" spans="2:3" x14ac:dyDescent="0.25">
      <c r="B37" s="29"/>
      <c r="C37" s="7" t="s">
        <v>24</v>
      </c>
    </row>
    <row r="38" spans="2:3" x14ac:dyDescent="0.25">
      <c r="B38" s="29"/>
      <c r="C38" s="7" t="s">
        <v>23</v>
      </c>
    </row>
    <row r="39" spans="2:3" x14ac:dyDescent="0.25">
      <c r="B39" s="29"/>
      <c r="C39" s="7" t="s">
        <v>22</v>
      </c>
    </row>
    <row r="40" spans="2:3" x14ac:dyDescent="0.25">
      <c r="B40" s="29"/>
      <c r="C40" s="7" t="s">
        <v>21</v>
      </c>
    </row>
    <row r="41" spans="2:3" x14ac:dyDescent="0.25">
      <c r="B41" s="29"/>
      <c r="C41" s="7" t="s">
        <v>20</v>
      </c>
    </row>
    <row r="42" spans="2:3" x14ac:dyDescent="0.25">
      <c r="B42" s="30"/>
      <c r="C42" s="14" t="s">
        <v>19</v>
      </c>
    </row>
    <row r="43" spans="2:3" x14ac:dyDescent="0.25">
      <c r="B43" s="16" t="s">
        <v>18</v>
      </c>
      <c r="C43" s="16" t="s">
        <v>17</v>
      </c>
    </row>
    <row r="44" spans="2:3" x14ac:dyDescent="0.25">
      <c r="B44" s="28" t="s">
        <v>16</v>
      </c>
      <c r="C44" s="15" t="s">
        <v>15</v>
      </c>
    </row>
    <row r="45" spans="2:3" x14ac:dyDescent="0.25">
      <c r="B45" s="26"/>
      <c r="C45" s="7" t="s">
        <v>14</v>
      </c>
    </row>
    <row r="46" spans="2:3" x14ac:dyDescent="0.25">
      <c r="B46" s="26"/>
      <c r="C46" s="7" t="s">
        <v>13</v>
      </c>
    </row>
    <row r="47" spans="2:3" x14ac:dyDescent="0.25">
      <c r="B47" s="26"/>
      <c r="C47" s="7" t="s">
        <v>12</v>
      </c>
    </row>
    <row r="48" spans="2:3" x14ac:dyDescent="0.25">
      <c r="B48" s="27"/>
      <c r="C48" s="14" t="s">
        <v>11</v>
      </c>
    </row>
    <row r="49" spans="2:3" ht="16.8" thickBot="1" x14ac:dyDescent="0.3">
      <c r="B49" s="13" t="s">
        <v>10</v>
      </c>
      <c r="C49" s="13" t="s">
        <v>9</v>
      </c>
    </row>
    <row r="50" spans="2:3" ht="16.2" x14ac:dyDescent="0.25">
      <c r="B50" s="12" t="s">
        <v>8</v>
      </c>
    </row>
  </sheetData>
  <mergeCells count="3">
    <mergeCell ref="B7:B20"/>
    <mergeCell ref="B21:B42"/>
    <mergeCell ref="B44:B48"/>
  </mergeCells>
  <phoneticPr fontId="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42"/>
  <sheetViews>
    <sheetView tabSelected="1" topLeftCell="A31" zoomScaleNormal="100" workbookViewId="0">
      <selection activeCell="AK41" sqref="AK41"/>
    </sheetView>
  </sheetViews>
  <sheetFormatPr defaultColWidth="8.77734375" defaultRowHeight="13.8" x14ac:dyDescent="0.25"/>
  <cols>
    <col min="1" max="1" width="18.77734375" style="1" customWidth="1"/>
    <col min="2" max="2" width="17.77734375" style="1" customWidth="1"/>
    <col min="3" max="3" width="9.44140625" style="1" customWidth="1"/>
    <col min="4" max="16384" width="8.77734375" style="1"/>
  </cols>
  <sheetData>
    <row r="1" spans="1:43" ht="16.2" x14ac:dyDescent="0.35">
      <c r="A1" s="5" t="s">
        <v>165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spans="1:43" x14ac:dyDescent="0.25">
      <c r="A2" s="2" t="s">
        <v>155</v>
      </c>
      <c r="B2" s="2" t="s">
        <v>167</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x14ac:dyDescent="0.25">
      <c r="A3" s="2" t="s">
        <v>156</v>
      </c>
      <c r="B3" s="2" t="s">
        <v>152</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row>
    <row r="4" spans="1:43" x14ac:dyDescent="0.25">
      <c r="A4" s="2" t="s">
        <v>157</v>
      </c>
      <c r="B4" s="2" t="s">
        <v>153</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row>
    <row r="5" spans="1:43" ht="16.2" x14ac:dyDescent="0.35">
      <c r="A5" s="2" t="s">
        <v>158</v>
      </c>
      <c r="B5" s="2" t="s">
        <v>154</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row>
    <row r="6" spans="1:43" x14ac:dyDescent="0.25">
      <c r="A6" s="3" t="s">
        <v>159</v>
      </c>
      <c r="B6" s="2" t="s">
        <v>150</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row>
    <row r="7" spans="1:43" x14ac:dyDescent="0.25">
      <c r="A7" s="2" t="s">
        <v>160</v>
      </c>
      <c r="B7" s="22" t="s">
        <v>151</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row>
    <row r="8" spans="1:43" ht="14.4" thickBot="1" x14ac:dyDescent="0.3"/>
    <row r="9" spans="1:43" ht="15" thickTop="1" thickBot="1" x14ac:dyDescent="0.3">
      <c r="A9" s="6" t="s">
        <v>1</v>
      </c>
      <c r="B9" s="6" t="s">
        <v>2</v>
      </c>
      <c r="C9" s="6" t="s">
        <v>0</v>
      </c>
      <c r="D9" s="6">
        <v>1990</v>
      </c>
      <c r="E9" s="6">
        <v>1991</v>
      </c>
      <c r="F9" s="6">
        <v>1992</v>
      </c>
      <c r="G9" s="6">
        <v>1993</v>
      </c>
      <c r="H9" s="6">
        <v>1994</v>
      </c>
      <c r="I9" s="6">
        <v>1995</v>
      </c>
      <c r="J9" s="6">
        <v>1996</v>
      </c>
      <c r="K9" s="6">
        <v>1997</v>
      </c>
      <c r="L9" s="6">
        <v>1998</v>
      </c>
      <c r="M9" s="6">
        <v>1999</v>
      </c>
      <c r="N9" s="6">
        <v>2000</v>
      </c>
      <c r="O9" s="6">
        <v>2001</v>
      </c>
      <c r="P9" s="6">
        <v>2002</v>
      </c>
      <c r="Q9" s="6">
        <v>2003</v>
      </c>
      <c r="R9" s="6">
        <v>2004</v>
      </c>
      <c r="S9" s="6">
        <v>2005</v>
      </c>
      <c r="T9" s="6">
        <v>2006</v>
      </c>
      <c r="U9" s="6">
        <v>2007</v>
      </c>
      <c r="V9" s="6">
        <v>2008</v>
      </c>
      <c r="W9" s="6">
        <v>2009</v>
      </c>
      <c r="X9" s="6">
        <v>2010</v>
      </c>
      <c r="Y9" s="6">
        <v>2011</v>
      </c>
      <c r="Z9" s="6">
        <v>2012</v>
      </c>
      <c r="AA9" s="6">
        <v>2013</v>
      </c>
      <c r="AB9" s="6">
        <v>2014</v>
      </c>
      <c r="AC9" s="6">
        <v>2015</v>
      </c>
      <c r="AD9" s="6">
        <v>2016</v>
      </c>
      <c r="AE9" s="6">
        <v>2017</v>
      </c>
      <c r="AF9" s="6">
        <v>2018</v>
      </c>
      <c r="AG9" s="6">
        <v>2019</v>
      </c>
      <c r="AH9" s="6">
        <v>2020</v>
      </c>
      <c r="AI9" s="6">
        <v>2021</v>
      </c>
      <c r="AJ9" s="6">
        <v>2022</v>
      </c>
      <c r="AK9" s="6">
        <v>2023</v>
      </c>
      <c r="AL9" s="6"/>
      <c r="AM9" s="6"/>
      <c r="AN9" s="6"/>
      <c r="AO9" s="6"/>
      <c r="AP9" s="6"/>
      <c r="AQ9" s="6"/>
    </row>
    <row r="10" spans="1:43" ht="14.4" thickTop="1" x14ac:dyDescent="0.25">
      <c r="A10" t="s">
        <v>168</v>
      </c>
      <c r="B10" t="s">
        <v>169</v>
      </c>
      <c r="C10" t="s">
        <v>170</v>
      </c>
      <c r="D10">
        <v>47.313000000000002</v>
      </c>
      <c r="E10">
        <v>49.215000000000003</v>
      </c>
      <c r="F10">
        <v>52.411999999999999</v>
      </c>
      <c r="G10">
        <v>60.515999999999998</v>
      </c>
      <c r="H10">
        <v>62.064999999999998</v>
      </c>
      <c r="I10">
        <v>66.959999999999994</v>
      </c>
      <c r="J10">
        <v>72.64</v>
      </c>
      <c r="K10">
        <v>69.295000000000002</v>
      </c>
      <c r="L10">
        <v>69.831000000000003</v>
      </c>
      <c r="M10">
        <v>70.962000000000003</v>
      </c>
      <c r="N10">
        <v>72.278999999999996</v>
      </c>
      <c r="O10">
        <v>73.338999999999999</v>
      </c>
      <c r="P10">
        <v>74.027000000000001</v>
      </c>
      <c r="Q10">
        <v>81.277000000000001</v>
      </c>
      <c r="R10">
        <v>89.935000000000002</v>
      </c>
      <c r="S10">
        <v>91.177999999999997</v>
      </c>
      <c r="T10">
        <v>95.929000000000002</v>
      </c>
      <c r="U10">
        <v>101.583</v>
      </c>
      <c r="V10">
        <v>100.411</v>
      </c>
      <c r="W10">
        <v>99.882000000000005</v>
      </c>
      <c r="X10">
        <v>105.071</v>
      </c>
      <c r="Y10">
        <v>98.195999999999998</v>
      </c>
      <c r="Z10">
        <v>100.505</v>
      </c>
      <c r="AA10">
        <v>97.018000000000001</v>
      </c>
      <c r="AB10">
        <v>94.399000000000001</v>
      </c>
      <c r="AC10">
        <v>100.30200000000001</v>
      </c>
      <c r="AD10">
        <v>90.298000000000002</v>
      </c>
      <c r="AE10">
        <v>85.399000000000001</v>
      </c>
      <c r="AF10">
        <v>89.043999999999997</v>
      </c>
      <c r="AG10">
        <v>88.575999999999993</v>
      </c>
      <c r="AH10">
        <v>78.38</v>
      </c>
      <c r="AI10">
        <v>80.364000000000004</v>
      </c>
      <c r="AJ10">
        <v>76.007999999999996</v>
      </c>
      <c r="AK10">
        <v>88.590999999999994</v>
      </c>
    </row>
    <row r="11" spans="1:43" x14ac:dyDescent="0.25">
      <c r="A11" t="s">
        <v>171</v>
      </c>
      <c r="B11" t="s">
        <v>172</v>
      </c>
      <c r="C11" t="s">
        <v>170</v>
      </c>
      <c r="D11">
        <v>37.020000000000003</v>
      </c>
      <c r="E11">
        <v>38.075000000000003</v>
      </c>
      <c r="F11">
        <v>39.968000000000004</v>
      </c>
      <c r="G11">
        <v>49.604999999999997</v>
      </c>
      <c r="H11">
        <v>49.860999999999997</v>
      </c>
      <c r="I11">
        <v>53.168999999999997</v>
      </c>
      <c r="J11">
        <v>49.140999999999998</v>
      </c>
      <c r="K11">
        <v>49.95</v>
      </c>
      <c r="L11">
        <v>50.219000000000001</v>
      </c>
      <c r="M11">
        <v>51.280999999999999</v>
      </c>
      <c r="N11">
        <v>55.01</v>
      </c>
      <c r="O11">
        <v>57.886000000000003</v>
      </c>
      <c r="P11">
        <v>62.875999999999998</v>
      </c>
      <c r="Q11">
        <v>67.141999999999996</v>
      </c>
      <c r="R11">
        <v>77.731999999999999</v>
      </c>
      <c r="S11">
        <v>83.450999999999993</v>
      </c>
      <c r="T11">
        <v>89.837000000000003</v>
      </c>
      <c r="U11">
        <v>97.421999999999997</v>
      </c>
      <c r="V11">
        <v>100.523</v>
      </c>
      <c r="W11">
        <v>107.57299999999999</v>
      </c>
      <c r="X11">
        <v>117.34</v>
      </c>
      <c r="Y11">
        <v>132.727</v>
      </c>
      <c r="Z11">
        <v>137.69900000000001</v>
      </c>
      <c r="AA11">
        <v>136.04400000000001</v>
      </c>
      <c r="AB11">
        <v>135.381</v>
      </c>
      <c r="AC11">
        <v>135.07400000000001</v>
      </c>
      <c r="AD11">
        <v>127.761</v>
      </c>
      <c r="AE11">
        <v>123.628</v>
      </c>
      <c r="AF11">
        <v>129.98400000000001</v>
      </c>
      <c r="AG11">
        <v>130.553</v>
      </c>
      <c r="AH11">
        <v>130.851</v>
      </c>
      <c r="AI11">
        <v>128.863</v>
      </c>
      <c r="AJ11">
        <v>126.369</v>
      </c>
      <c r="AK11">
        <v>135.87299999999999</v>
      </c>
    </row>
    <row r="12" spans="1:43" x14ac:dyDescent="0.25">
      <c r="A12" t="s">
        <v>173</v>
      </c>
      <c r="B12" t="s">
        <v>174</v>
      </c>
      <c r="C12" t="s">
        <v>170</v>
      </c>
      <c r="D12">
        <v>140.72399999999999</v>
      </c>
      <c r="E12">
        <v>148.49799999999999</v>
      </c>
      <c r="F12">
        <v>159.065</v>
      </c>
      <c r="G12">
        <v>176.98699999999999</v>
      </c>
      <c r="H12">
        <v>181.98099999999999</v>
      </c>
      <c r="I12">
        <v>213.87</v>
      </c>
      <c r="J12">
        <v>221.053</v>
      </c>
      <c r="K12">
        <v>227.84200000000001</v>
      </c>
      <c r="L12">
        <v>228.72399999999999</v>
      </c>
      <c r="M12">
        <v>242.89099999999999</v>
      </c>
      <c r="N12">
        <v>262.42099999999999</v>
      </c>
      <c r="O12">
        <v>280.29199999999997</v>
      </c>
      <c r="P12">
        <v>307.71699999999998</v>
      </c>
      <c r="Q12">
        <v>350.65</v>
      </c>
      <c r="R12">
        <v>399.63</v>
      </c>
      <c r="S12">
        <v>469.85899999999998</v>
      </c>
      <c r="T12">
        <v>491.42</v>
      </c>
      <c r="U12">
        <v>522.73599999999999</v>
      </c>
      <c r="V12">
        <v>553.43299999999999</v>
      </c>
      <c r="W12">
        <v>568.83299999999997</v>
      </c>
      <c r="X12">
        <v>631.03700000000003</v>
      </c>
      <c r="Y12">
        <v>706.10400000000004</v>
      </c>
      <c r="Z12">
        <v>715.26</v>
      </c>
      <c r="AA12">
        <v>720.42499999999995</v>
      </c>
      <c r="AB12">
        <v>698.81299999999999</v>
      </c>
      <c r="AC12">
        <v>683.95399999999995</v>
      </c>
      <c r="AD12">
        <v>690.101</v>
      </c>
      <c r="AE12">
        <v>685.16200000000003</v>
      </c>
      <c r="AF12">
        <v>759.12300000000005</v>
      </c>
      <c r="AG12">
        <v>745.16600000000005</v>
      </c>
      <c r="AH12">
        <v>750.70500000000004</v>
      </c>
      <c r="AI12">
        <v>733.84299999999996</v>
      </c>
      <c r="AJ12">
        <v>720.06799999999998</v>
      </c>
      <c r="AK12">
        <v>754.05799999999999</v>
      </c>
    </row>
    <row r="13" spans="1:43" x14ac:dyDescent="0.25">
      <c r="A13" t="s">
        <v>175</v>
      </c>
      <c r="B13" t="s">
        <v>176</v>
      </c>
      <c r="C13" t="s">
        <v>170</v>
      </c>
      <c r="D13">
        <v>111.48</v>
      </c>
      <c r="E13">
        <v>116.76900000000001</v>
      </c>
      <c r="F13">
        <v>127.036</v>
      </c>
      <c r="G13">
        <v>142.517</v>
      </c>
      <c r="H13">
        <v>148.40100000000001</v>
      </c>
      <c r="I13">
        <v>154.77199999999999</v>
      </c>
      <c r="J13">
        <v>160.75700000000001</v>
      </c>
      <c r="K13">
        <v>158.03299999999999</v>
      </c>
      <c r="L13">
        <v>157.559</v>
      </c>
      <c r="M13">
        <v>157.709</v>
      </c>
      <c r="N13">
        <v>161.83600000000001</v>
      </c>
      <c r="O13">
        <v>197.80799999999999</v>
      </c>
      <c r="P13">
        <v>235.42</v>
      </c>
      <c r="Q13">
        <v>262.024</v>
      </c>
      <c r="R13">
        <v>269.58199999999999</v>
      </c>
      <c r="S13">
        <v>280.82499999999999</v>
      </c>
      <c r="T13">
        <v>309.21300000000002</v>
      </c>
      <c r="U13">
        <v>338.89499999999998</v>
      </c>
      <c r="V13">
        <v>367.40100000000001</v>
      </c>
      <c r="W13">
        <v>369.62099999999998</v>
      </c>
      <c r="X13">
        <v>408.767</v>
      </c>
      <c r="Y13">
        <v>448.85300000000001</v>
      </c>
      <c r="Z13">
        <v>468.488</v>
      </c>
      <c r="AA13">
        <v>476.55900000000003</v>
      </c>
      <c r="AB13">
        <v>459.82299999999998</v>
      </c>
      <c r="AC13">
        <v>434.30200000000002</v>
      </c>
      <c r="AD13">
        <v>440.16199999999998</v>
      </c>
      <c r="AE13">
        <v>462.32900000000001</v>
      </c>
      <c r="AF13">
        <v>496.37099999999998</v>
      </c>
      <c r="AG13">
        <v>515.61199999999997</v>
      </c>
      <c r="AH13">
        <v>522.68299999999999</v>
      </c>
      <c r="AI13">
        <v>554.65700000000004</v>
      </c>
      <c r="AJ13">
        <v>561.54300000000001</v>
      </c>
      <c r="AK13">
        <v>589.91099999999994</v>
      </c>
    </row>
    <row r="14" spans="1:43" x14ac:dyDescent="0.25">
      <c r="A14" t="s">
        <v>177</v>
      </c>
      <c r="B14" t="s">
        <v>178</v>
      </c>
      <c r="C14" t="s">
        <v>170</v>
      </c>
      <c r="D14">
        <v>65.432000000000002</v>
      </c>
      <c r="E14">
        <v>69.234999999999999</v>
      </c>
      <c r="F14">
        <v>74.399000000000001</v>
      </c>
      <c r="G14">
        <v>80.468999999999994</v>
      </c>
      <c r="H14">
        <v>83.784000000000006</v>
      </c>
      <c r="I14">
        <v>82.533000000000001</v>
      </c>
      <c r="J14">
        <v>89.745999999999995</v>
      </c>
      <c r="K14">
        <v>98.057000000000002</v>
      </c>
      <c r="L14">
        <v>94.847999999999999</v>
      </c>
      <c r="M14">
        <v>100.9</v>
      </c>
      <c r="N14">
        <v>109.492</v>
      </c>
      <c r="O14">
        <v>117.849</v>
      </c>
      <c r="P14">
        <v>128.12299999999999</v>
      </c>
      <c r="Q14">
        <v>150.88</v>
      </c>
      <c r="R14">
        <v>198.30199999999999</v>
      </c>
      <c r="S14">
        <v>224.83099999999999</v>
      </c>
      <c r="T14">
        <v>279.83300000000003</v>
      </c>
      <c r="U14">
        <v>331.125</v>
      </c>
      <c r="V14">
        <v>398.48500000000001</v>
      </c>
      <c r="W14">
        <v>429.14100000000002</v>
      </c>
      <c r="X14">
        <v>461.94</v>
      </c>
      <c r="Y14">
        <v>574.22199999999998</v>
      </c>
      <c r="Z14">
        <v>600.82899999999995</v>
      </c>
      <c r="AA14">
        <v>568.78800000000001</v>
      </c>
      <c r="AB14">
        <v>575.39499999999998</v>
      </c>
      <c r="AC14">
        <v>570.11699999999996</v>
      </c>
      <c r="AD14">
        <v>573.03700000000003</v>
      </c>
      <c r="AE14">
        <v>618.50099999999998</v>
      </c>
      <c r="AF14">
        <v>725.81799999999998</v>
      </c>
      <c r="AG14">
        <v>797.25599999999997</v>
      </c>
      <c r="AH14">
        <v>835.07799999999997</v>
      </c>
      <c r="AI14">
        <v>836.69600000000003</v>
      </c>
      <c r="AJ14">
        <v>857.75300000000004</v>
      </c>
      <c r="AK14">
        <v>904.02</v>
      </c>
    </row>
    <row r="15" spans="1:43" x14ac:dyDescent="0.25">
      <c r="A15" t="s">
        <v>179</v>
      </c>
      <c r="B15" t="s">
        <v>180</v>
      </c>
      <c r="C15" t="s">
        <v>170</v>
      </c>
      <c r="D15">
        <v>162.649</v>
      </c>
      <c r="E15">
        <v>167.68799999999999</v>
      </c>
      <c r="F15">
        <v>179.578</v>
      </c>
      <c r="G15">
        <v>202.697</v>
      </c>
      <c r="H15">
        <v>208.601</v>
      </c>
      <c r="I15">
        <v>202.37100000000001</v>
      </c>
      <c r="J15">
        <v>197.458</v>
      </c>
      <c r="K15">
        <v>196.87899999999999</v>
      </c>
      <c r="L15">
        <v>184.43600000000001</v>
      </c>
      <c r="M15">
        <v>183.90799999999999</v>
      </c>
      <c r="N15">
        <v>210.13200000000001</v>
      </c>
      <c r="O15">
        <v>199.03</v>
      </c>
      <c r="P15">
        <v>204.19900000000001</v>
      </c>
      <c r="Q15">
        <v>231.95699999999999</v>
      </c>
      <c r="R15">
        <v>240.96600000000001</v>
      </c>
      <c r="S15">
        <v>260.149</v>
      </c>
      <c r="T15">
        <v>285.113</v>
      </c>
      <c r="U15">
        <v>317.51400000000001</v>
      </c>
      <c r="V15">
        <v>329.13</v>
      </c>
      <c r="W15">
        <v>357.25400000000002</v>
      </c>
      <c r="X15">
        <v>400.62</v>
      </c>
      <c r="Y15">
        <v>438.93099999999998</v>
      </c>
      <c r="Z15">
        <v>442.16199999999998</v>
      </c>
      <c r="AA15">
        <v>438.447</v>
      </c>
      <c r="AB15">
        <v>441.92200000000003</v>
      </c>
      <c r="AC15">
        <v>423.59100000000001</v>
      </c>
      <c r="AD15">
        <v>408.27300000000002</v>
      </c>
      <c r="AE15">
        <v>420.59399999999999</v>
      </c>
      <c r="AF15">
        <v>435.88499999999999</v>
      </c>
      <c r="AG15">
        <v>452.17</v>
      </c>
      <c r="AH15">
        <v>458.63099999999997</v>
      </c>
      <c r="AI15">
        <v>462.84800000000001</v>
      </c>
      <c r="AJ15">
        <v>445.92</v>
      </c>
      <c r="AK15">
        <v>467.10599999999999</v>
      </c>
    </row>
    <row r="16" spans="1:43" x14ac:dyDescent="0.25">
      <c r="A16" t="s">
        <v>181</v>
      </c>
      <c r="B16" t="s">
        <v>182</v>
      </c>
      <c r="C16" t="s">
        <v>170</v>
      </c>
      <c r="D16">
        <v>71.930999999999997</v>
      </c>
      <c r="E16">
        <v>76.316999999999993</v>
      </c>
      <c r="F16">
        <v>81.045000000000002</v>
      </c>
      <c r="G16">
        <v>89.756</v>
      </c>
      <c r="H16">
        <v>92.864999999999995</v>
      </c>
      <c r="I16">
        <v>94.94</v>
      </c>
      <c r="J16">
        <v>101.61499999999999</v>
      </c>
      <c r="K16">
        <v>101.105</v>
      </c>
      <c r="L16">
        <v>86.441000000000003</v>
      </c>
      <c r="M16">
        <v>89.483999999999995</v>
      </c>
      <c r="N16">
        <v>88.61</v>
      </c>
      <c r="O16">
        <v>94.992999999999995</v>
      </c>
      <c r="P16">
        <v>103.179</v>
      </c>
      <c r="Q16">
        <v>108.32299999999999</v>
      </c>
      <c r="R16">
        <v>116.88</v>
      </c>
      <c r="S16">
        <v>145.74</v>
      </c>
      <c r="T16">
        <v>160.91800000000001</v>
      </c>
      <c r="U16">
        <v>170.977</v>
      </c>
      <c r="V16">
        <v>184.25800000000001</v>
      </c>
      <c r="W16">
        <v>189.76</v>
      </c>
      <c r="X16">
        <v>208.65700000000001</v>
      </c>
      <c r="Y16">
        <v>238.33199999999999</v>
      </c>
      <c r="Z16">
        <v>233.08799999999999</v>
      </c>
      <c r="AA16">
        <v>234.09</v>
      </c>
      <c r="AB16">
        <v>229.50200000000001</v>
      </c>
      <c r="AC16">
        <v>208.214</v>
      </c>
      <c r="AD16">
        <v>208.79599999999999</v>
      </c>
      <c r="AE16">
        <v>205.66</v>
      </c>
      <c r="AF16">
        <v>193.352</v>
      </c>
      <c r="AG16">
        <v>203.01900000000001</v>
      </c>
      <c r="AH16">
        <v>200.4</v>
      </c>
      <c r="AI16">
        <v>201.078</v>
      </c>
      <c r="AJ16">
        <v>189.73</v>
      </c>
      <c r="AK16">
        <v>200.685</v>
      </c>
    </row>
    <row r="17" spans="1:37" x14ac:dyDescent="0.25">
      <c r="A17" t="s">
        <v>183</v>
      </c>
      <c r="B17" t="s">
        <v>184</v>
      </c>
      <c r="C17" t="s">
        <v>170</v>
      </c>
      <c r="D17">
        <v>115.622</v>
      </c>
      <c r="E17">
        <v>119.56699999999999</v>
      </c>
      <c r="F17">
        <v>126.637</v>
      </c>
      <c r="G17">
        <v>131.923</v>
      </c>
      <c r="H17">
        <v>135.75299999999999</v>
      </c>
      <c r="I17">
        <v>115.97499999999999</v>
      </c>
      <c r="J17">
        <v>118.36</v>
      </c>
      <c r="K17">
        <v>126.931</v>
      </c>
      <c r="L17">
        <v>122.047</v>
      </c>
      <c r="M17">
        <v>118.248</v>
      </c>
      <c r="N17">
        <v>118.82</v>
      </c>
      <c r="O17">
        <v>115.575</v>
      </c>
      <c r="P17">
        <v>110.202</v>
      </c>
      <c r="Q17">
        <v>121.416</v>
      </c>
      <c r="R17">
        <v>129.74100000000001</v>
      </c>
      <c r="S17">
        <v>150.28100000000001</v>
      </c>
      <c r="T17">
        <v>172.27600000000001</v>
      </c>
      <c r="U17">
        <v>177.59800000000001</v>
      </c>
      <c r="V17">
        <v>193.82400000000001</v>
      </c>
      <c r="W17">
        <v>195.68700000000001</v>
      </c>
      <c r="X17">
        <v>208.804</v>
      </c>
      <c r="Y17">
        <v>234.63499999999999</v>
      </c>
      <c r="Z17">
        <v>250.17</v>
      </c>
      <c r="AA17">
        <v>246.34</v>
      </c>
      <c r="AB17">
        <v>260.15300000000002</v>
      </c>
      <c r="AC17">
        <v>265.04199999999997</v>
      </c>
      <c r="AD17">
        <v>276.84899999999999</v>
      </c>
      <c r="AE17">
        <v>269.72000000000003</v>
      </c>
      <c r="AF17">
        <v>252.27</v>
      </c>
      <c r="AG17">
        <v>274.733</v>
      </c>
      <c r="AH17">
        <v>269.36599999999999</v>
      </c>
      <c r="AI17">
        <v>280.464</v>
      </c>
      <c r="AJ17">
        <v>267.55799999999999</v>
      </c>
      <c r="AK17">
        <v>280.42099999999999</v>
      </c>
    </row>
    <row r="18" spans="1:37" x14ac:dyDescent="0.25">
      <c r="A18" t="s">
        <v>185</v>
      </c>
      <c r="B18" t="s">
        <v>186</v>
      </c>
      <c r="C18" t="s">
        <v>170</v>
      </c>
      <c r="D18">
        <v>67.435000000000002</v>
      </c>
      <c r="E18">
        <v>70.221000000000004</v>
      </c>
      <c r="F18">
        <v>74.948999999999998</v>
      </c>
      <c r="G18">
        <v>84.034999999999997</v>
      </c>
      <c r="H18">
        <v>86.905000000000001</v>
      </c>
      <c r="I18">
        <v>90.710999999999999</v>
      </c>
      <c r="J18">
        <v>96.021000000000001</v>
      </c>
      <c r="K18">
        <v>99.206000000000003</v>
      </c>
      <c r="L18">
        <v>99.912999999999997</v>
      </c>
      <c r="M18">
        <v>104.042</v>
      </c>
      <c r="N18">
        <v>114.76900000000001</v>
      </c>
      <c r="O18">
        <v>116.084</v>
      </c>
      <c r="P18">
        <v>120.813</v>
      </c>
      <c r="Q18">
        <v>131.06899999999999</v>
      </c>
      <c r="R18">
        <v>140.31</v>
      </c>
      <c r="S18">
        <v>146.58600000000001</v>
      </c>
      <c r="T18">
        <v>151.32300000000001</v>
      </c>
      <c r="U18">
        <v>158.285</v>
      </c>
      <c r="V18">
        <v>161.13999999999999</v>
      </c>
      <c r="W18">
        <v>155.023</v>
      </c>
      <c r="X18">
        <v>169.261</v>
      </c>
      <c r="Y18">
        <v>175.256</v>
      </c>
      <c r="Z18">
        <v>167.095</v>
      </c>
      <c r="AA18">
        <v>169.45500000000001</v>
      </c>
      <c r="AB18">
        <v>154.24600000000001</v>
      </c>
      <c r="AC18">
        <v>157.18700000000001</v>
      </c>
      <c r="AD18">
        <v>154.45400000000001</v>
      </c>
      <c r="AE18">
        <v>160.15600000000001</v>
      </c>
      <c r="AF18">
        <v>161.078</v>
      </c>
      <c r="AG18">
        <v>160.97800000000001</v>
      </c>
      <c r="AH18">
        <v>147.834</v>
      </c>
      <c r="AI18">
        <v>162.13800000000001</v>
      </c>
      <c r="AJ18">
        <v>151.857</v>
      </c>
      <c r="AK18">
        <v>175.614</v>
      </c>
    </row>
    <row r="19" spans="1:37" x14ac:dyDescent="0.25">
      <c r="A19" t="s">
        <v>187</v>
      </c>
      <c r="B19" t="s">
        <v>188</v>
      </c>
      <c r="C19" t="s">
        <v>170</v>
      </c>
      <c r="D19">
        <v>122.6</v>
      </c>
      <c r="E19">
        <v>129.64400000000001</v>
      </c>
      <c r="F19">
        <v>140.327</v>
      </c>
      <c r="G19">
        <v>154.77500000000001</v>
      </c>
      <c r="H19">
        <v>161.654</v>
      </c>
      <c r="I19">
        <v>191.59</v>
      </c>
      <c r="J19">
        <v>192.364</v>
      </c>
      <c r="K19">
        <v>187.375</v>
      </c>
      <c r="L19">
        <v>190.697</v>
      </c>
      <c r="M19">
        <v>197.62700000000001</v>
      </c>
      <c r="N19">
        <v>203.584</v>
      </c>
      <c r="O19">
        <v>204.83699999999999</v>
      </c>
      <c r="P19">
        <v>221.54300000000001</v>
      </c>
      <c r="Q19">
        <v>254.45500000000001</v>
      </c>
      <c r="R19">
        <v>312.673</v>
      </c>
      <c r="S19">
        <v>392.49799999999999</v>
      </c>
      <c r="T19">
        <v>428.42399999999998</v>
      </c>
      <c r="U19">
        <v>454.50200000000001</v>
      </c>
      <c r="V19">
        <v>478.584</v>
      </c>
      <c r="W19">
        <v>494.863</v>
      </c>
      <c r="X19">
        <v>542.18200000000002</v>
      </c>
      <c r="Y19">
        <v>614.78399999999999</v>
      </c>
      <c r="Z19">
        <v>636.77300000000002</v>
      </c>
      <c r="AA19">
        <v>648.26099999999997</v>
      </c>
      <c r="AB19">
        <v>634.20399999999995</v>
      </c>
      <c r="AC19">
        <v>645.096</v>
      </c>
      <c r="AD19">
        <v>664.47</v>
      </c>
      <c r="AE19">
        <v>675.24</v>
      </c>
      <c r="AF19">
        <v>676.05</v>
      </c>
      <c r="AG19">
        <v>691.73</v>
      </c>
      <c r="AH19">
        <v>665.59100000000001</v>
      </c>
      <c r="AI19">
        <v>710.97299999999996</v>
      </c>
      <c r="AJ19">
        <v>713.28099999999995</v>
      </c>
      <c r="AK19">
        <v>754.83699999999999</v>
      </c>
    </row>
    <row r="20" spans="1:37" x14ac:dyDescent="0.25">
      <c r="A20" t="s">
        <v>189</v>
      </c>
      <c r="B20" t="s">
        <v>190</v>
      </c>
      <c r="C20" t="s">
        <v>170</v>
      </c>
      <c r="D20">
        <v>52.44</v>
      </c>
      <c r="E20">
        <v>54.942</v>
      </c>
      <c r="F20">
        <v>60.244</v>
      </c>
      <c r="G20">
        <v>66.245000000000005</v>
      </c>
      <c r="H20">
        <v>67.245000000000005</v>
      </c>
      <c r="I20">
        <v>93.09</v>
      </c>
      <c r="J20">
        <v>101.875</v>
      </c>
      <c r="K20">
        <v>105.083</v>
      </c>
      <c r="L20">
        <v>104.033</v>
      </c>
      <c r="M20">
        <v>109.13500000000001</v>
      </c>
      <c r="N20">
        <v>118.631</v>
      </c>
      <c r="O20">
        <v>128.881</v>
      </c>
      <c r="P20">
        <v>140.35900000000001</v>
      </c>
      <c r="Q20">
        <v>163.10599999999999</v>
      </c>
      <c r="R20">
        <v>206.42500000000001</v>
      </c>
      <c r="S20">
        <v>240.38200000000001</v>
      </c>
      <c r="T20">
        <v>278.77999999999997</v>
      </c>
      <c r="U20">
        <v>314.67099999999999</v>
      </c>
      <c r="V20">
        <v>320.20800000000003</v>
      </c>
      <c r="W20">
        <v>325.56799999999998</v>
      </c>
      <c r="X20">
        <v>344.79</v>
      </c>
      <c r="Y20">
        <v>366.25400000000002</v>
      </c>
      <c r="Z20">
        <v>362.13600000000002</v>
      </c>
      <c r="AA20">
        <v>361.74200000000002</v>
      </c>
      <c r="AB20">
        <v>358.38600000000002</v>
      </c>
      <c r="AC20">
        <v>356.214</v>
      </c>
      <c r="AD20">
        <v>360.22</v>
      </c>
      <c r="AE20">
        <v>370.33300000000003</v>
      </c>
      <c r="AF20">
        <v>376.60399999999998</v>
      </c>
      <c r="AG20">
        <v>370.005</v>
      </c>
      <c r="AH20">
        <v>356.63499999999999</v>
      </c>
      <c r="AI20">
        <v>417.49599999999998</v>
      </c>
      <c r="AJ20">
        <v>432.17200000000003</v>
      </c>
      <c r="AK20">
        <v>459.88600000000002</v>
      </c>
    </row>
    <row r="21" spans="1:37" x14ac:dyDescent="0.25">
      <c r="A21" t="s">
        <v>191</v>
      </c>
      <c r="B21" t="s">
        <v>192</v>
      </c>
      <c r="C21" t="s">
        <v>170</v>
      </c>
      <c r="D21">
        <v>62.207999999999998</v>
      </c>
      <c r="E21">
        <v>65.676000000000002</v>
      </c>
      <c r="F21">
        <v>70.515000000000001</v>
      </c>
      <c r="G21">
        <v>77.831999999999994</v>
      </c>
      <c r="H21">
        <v>79.558999999999997</v>
      </c>
      <c r="I21">
        <v>104.678</v>
      </c>
      <c r="J21">
        <v>113.619</v>
      </c>
      <c r="K21">
        <v>116.086</v>
      </c>
      <c r="L21">
        <v>117.27800000000001</v>
      </c>
      <c r="M21">
        <v>120.639</v>
      </c>
      <c r="N21">
        <v>127.87</v>
      </c>
      <c r="O21">
        <v>136.977</v>
      </c>
      <c r="P21">
        <v>144.98699999999999</v>
      </c>
      <c r="Q21">
        <v>163.38</v>
      </c>
      <c r="R21">
        <v>164.79900000000001</v>
      </c>
      <c r="S21">
        <v>177.77199999999999</v>
      </c>
      <c r="T21">
        <v>202.76900000000001</v>
      </c>
      <c r="U21">
        <v>232.70699999999999</v>
      </c>
      <c r="V21">
        <v>265.423</v>
      </c>
      <c r="W21">
        <v>294.387</v>
      </c>
      <c r="X21">
        <v>304.78899999999999</v>
      </c>
      <c r="Y21">
        <v>336.10300000000001</v>
      </c>
      <c r="Z21">
        <v>355.64699999999999</v>
      </c>
      <c r="AA21">
        <v>378.06400000000002</v>
      </c>
      <c r="AB21">
        <v>387.19600000000003</v>
      </c>
      <c r="AC21">
        <v>391.322</v>
      </c>
      <c r="AD21">
        <v>397.53800000000001</v>
      </c>
      <c r="AE21">
        <v>403.67399999999998</v>
      </c>
      <c r="AF21">
        <v>416.35599999999999</v>
      </c>
      <c r="AG21">
        <v>423.43200000000002</v>
      </c>
      <c r="AH21">
        <v>426.988</v>
      </c>
      <c r="AI21">
        <v>443.233</v>
      </c>
      <c r="AJ21">
        <v>460.19299999999998</v>
      </c>
      <c r="AK21">
        <v>477.60300000000001</v>
      </c>
    </row>
    <row r="22" spans="1:37" x14ac:dyDescent="0.25">
      <c r="A22" t="s">
        <v>193</v>
      </c>
      <c r="B22" t="s">
        <v>194</v>
      </c>
      <c r="C22" t="s">
        <v>170</v>
      </c>
      <c r="D22">
        <v>25.516999999999999</v>
      </c>
      <c r="E22">
        <v>27.425000000000001</v>
      </c>
      <c r="F22">
        <v>29.613</v>
      </c>
      <c r="G22">
        <v>33.793999999999997</v>
      </c>
      <c r="H22">
        <v>35.042000000000002</v>
      </c>
      <c r="I22">
        <v>39.488</v>
      </c>
      <c r="J22">
        <v>44.536999999999999</v>
      </c>
      <c r="K22">
        <v>42.970999999999997</v>
      </c>
      <c r="L22">
        <v>45.573</v>
      </c>
      <c r="M22">
        <v>51.43</v>
      </c>
      <c r="N22">
        <v>53.070999999999998</v>
      </c>
      <c r="O22">
        <v>54.597999999999999</v>
      </c>
      <c r="P22">
        <v>65.225999999999999</v>
      </c>
      <c r="Q22">
        <v>80.765000000000001</v>
      </c>
      <c r="R22">
        <v>92.62</v>
      </c>
      <c r="S22">
        <v>117.761</v>
      </c>
      <c r="T22">
        <v>132.89699999999999</v>
      </c>
      <c r="U22">
        <v>152.72200000000001</v>
      </c>
      <c r="V22">
        <v>163.74799999999999</v>
      </c>
      <c r="W22">
        <v>185.24700000000001</v>
      </c>
      <c r="X22">
        <v>192.82599999999999</v>
      </c>
      <c r="Y22">
        <v>223.85599999999999</v>
      </c>
      <c r="Z22">
        <v>222.25800000000001</v>
      </c>
      <c r="AA22">
        <v>225.84200000000001</v>
      </c>
      <c r="AB22">
        <v>228.22800000000001</v>
      </c>
      <c r="AC22">
        <v>219.94900000000001</v>
      </c>
      <c r="AD22">
        <v>203.523</v>
      </c>
      <c r="AE22">
        <v>221.678</v>
      </c>
      <c r="AF22">
        <v>247.82400000000001</v>
      </c>
      <c r="AG22">
        <v>254.90299999999999</v>
      </c>
      <c r="AH22">
        <v>253.40700000000001</v>
      </c>
      <c r="AI22">
        <v>277.505</v>
      </c>
      <c r="AJ22">
        <v>271.18599999999998</v>
      </c>
      <c r="AK22">
        <v>279.98200000000003</v>
      </c>
    </row>
    <row r="23" spans="1:37" x14ac:dyDescent="0.25">
      <c r="A23" t="s">
        <v>195</v>
      </c>
      <c r="B23" t="s">
        <v>196</v>
      </c>
      <c r="C23" t="s">
        <v>170</v>
      </c>
      <c r="D23">
        <v>41.957000000000001</v>
      </c>
      <c r="E23">
        <v>45.225000000000001</v>
      </c>
      <c r="F23">
        <v>48.427999999999997</v>
      </c>
      <c r="G23">
        <v>55.215000000000003</v>
      </c>
      <c r="H23">
        <v>56.39</v>
      </c>
      <c r="I23">
        <v>60.756999999999998</v>
      </c>
      <c r="J23">
        <v>58.386000000000003</v>
      </c>
      <c r="K23">
        <v>56.296999999999997</v>
      </c>
      <c r="L23">
        <v>55.747</v>
      </c>
      <c r="M23">
        <v>56.478999999999999</v>
      </c>
      <c r="N23">
        <v>59.469000000000001</v>
      </c>
      <c r="O23">
        <v>63.741999999999997</v>
      </c>
      <c r="P23">
        <v>70.47</v>
      </c>
      <c r="Q23">
        <v>83.277000000000001</v>
      </c>
      <c r="R23">
        <v>96.667000000000002</v>
      </c>
      <c r="S23">
        <v>98.352000000000004</v>
      </c>
      <c r="T23">
        <v>112.289</v>
      </c>
      <c r="U23">
        <v>126.93899999999999</v>
      </c>
      <c r="V23">
        <v>134.11199999999999</v>
      </c>
      <c r="W23">
        <v>139.102</v>
      </c>
      <c r="X23">
        <v>156.291</v>
      </c>
      <c r="Y23">
        <v>172.7</v>
      </c>
      <c r="Z23">
        <v>168.905</v>
      </c>
      <c r="AA23">
        <v>180.38800000000001</v>
      </c>
      <c r="AB23">
        <v>184.685</v>
      </c>
      <c r="AC23">
        <v>194.834</v>
      </c>
      <c r="AD23">
        <v>198.965</v>
      </c>
      <c r="AE23">
        <v>211.49199999999999</v>
      </c>
      <c r="AF23">
        <v>214.83099999999999</v>
      </c>
      <c r="AG23">
        <v>222.256</v>
      </c>
      <c r="AH23">
        <v>221.404</v>
      </c>
      <c r="AI23">
        <v>227.47200000000001</v>
      </c>
      <c r="AJ23">
        <v>233.584</v>
      </c>
      <c r="AK23">
        <v>242.90899999999999</v>
      </c>
    </row>
    <row r="24" spans="1:37" x14ac:dyDescent="0.25">
      <c r="A24" t="s">
        <v>197</v>
      </c>
      <c r="B24" t="s">
        <v>198</v>
      </c>
      <c r="C24" t="s">
        <v>170</v>
      </c>
      <c r="D24">
        <v>144.173</v>
      </c>
      <c r="E24">
        <v>153.69900000000001</v>
      </c>
      <c r="F24">
        <v>166.54400000000001</v>
      </c>
      <c r="G24">
        <v>186.501</v>
      </c>
      <c r="H24">
        <v>196.59800000000001</v>
      </c>
      <c r="I24">
        <v>204.96</v>
      </c>
      <c r="J24">
        <v>211.08799999999999</v>
      </c>
      <c r="K24">
        <v>205.06200000000001</v>
      </c>
      <c r="L24">
        <v>227.35599999999999</v>
      </c>
      <c r="M24">
        <v>233.86799999999999</v>
      </c>
      <c r="N24">
        <v>214.673</v>
      </c>
      <c r="O24">
        <v>256.58999999999997</v>
      </c>
      <c r="P24">
        <v>291.62200000000001</v>
      </c>
      <c r="Q24">
        <v>362.435</v>
      </c>
      <c r="R24">
        <v>432.6</v>
      </c>
      <c r="S24">
        <v>562.01499999999999</v>
      </c>
      <c r="T24">
        <v>612.57899999999995</v>
      </c>
      <c r="U24">
        <v>670.36800000000005</v>
      </c>
      <c r="V24">
        <v>703.22500000000002</v>
      </c>
      <c r="W24">
        <v>717.75300000000004</v>
      </c>
      <c r="X24">
        <v>771.84799999999996</v>
      </c>
      <c r="Y24">
        <v>808.279</v>
      </c>
      <c r="Z24">
        <v>849.57500000000005</v>
      </c>
      <c r="AA24">
        <v>804.97</v>
      </c>
      <c r="AB24">
        <v>808.42100000000005</v>
      </c>
      <c r="AC24">
        <v>829.6</v>
      </c>
      <c r="AD24">
        <v>849.80899999999997</v>
      </c>
      <c r="AE24">
        <v>809.19899999999996</v>
      </c>
      <c r="AF24">
        <v>880.21199999999999</v>
      </c>
      <c r="AG24">
        <v>902.37599999999998</v>
      </c>
      <c r="AH24">
        <v>891.18700000000001</v>
      </c>
      <c r="AI24">
        <v>900.42700000000002</v>
      </c>
      <c r="AJ24">
        <v>863.25800000000004</v>
      </c>
      <c r="AK24">
        <v>906.02800000000002</v>
      </c>
    </row>
    <row r="25" spans="1:37" x14ac:dyDescent="0.25">
      <c r="A25" t="s">
        <v>199</v>
      </c>
      <c r="B25" t="s">
        <v>200</v>
      </c>
      <c r="C25" t="s">
        <v>170</v>
      </c>
      <c r="D25">
        <v>114.188</v>
      </c>
      <c r="E25">
        <v>121.822</v>
      </c>
      <c r="F25">
        <v>137.28</v>
      </c>
      <c r="G25">
        <v>149.554</v>
      </c>
      <c r="H25">
        <v>158.679</v>
      </c>
      <c r="I25">
        <v>163.745</v>
      </c>
      <c r="J25">
        <v>166.678</v>
      </c>
      <c r="K25">
        <v>169.75</v>
      </c>
      <c r="L25">
        <v>170.756</v>
      </c>
      <c r="M25">
        <v>174.864</v>
      </c>
      <c r="N25">
        <v>188.666</v>
      </c>
      <c r="O25">
        <v>201.05600000000001</v>
      </c>
      <c r="P25">
        <v>217.291</v>
      </c>
      <c r="Q25">
        <v>238.613</v>
      </c>
      <c r="R25">
        <v>300.892</v>
      </c>
      <c r="S25">
        <v>361.36500000000001</v>
      </c>
      <c r="T25">
        <v>404.97199999999998</v>
      </c>
      <c r="U25">
        <v>450.82400000000001</v>
      </c>
      <c r="V25">
        <v>448.09300000000002</v>
      </c>
      <c r="W25">
        <v>462.22300000000001</v>
      </c>
      <c r="X25">
        <v>498.48700000000002</v>
      </c>
      <c r="Y25">
        <v>553.92499999999995</v>
      </c>
      <c r="Z25">
        <v>519.23800000000006</v>
      </c>
      <c r="AA25">
        <v>515.51499999999999</v>
      </c>
      <c r="AB25">
        <v>528.99199999999996</v>
      </c>
      <c r="AC25">
        <v>485.83100000000002</v>
      </c>
      <c r="AD25">
        <v>499.75900000000001</v>
      </c>
      <c r="AE25">
        <v>481.23099999999999</v>
      </c>
      <c r="AF25">
        <v>460.89299999999997</v>
      </c>
      <c r="AG25">
        <v>426.464</v>
      </c>
      <c r="AH25">
        <v>435.16199999999998</v>
      </c>
      <c r="AI25">
        <v>443.42500000000001</v>
      </c>
      <c r="AJ25">
        <v>467.90899999999999</v>
      </c>
      <c r="AK25">
        <v>489.87900000000002</v>
      </c>
    </row>
    <row r="26" spans="1:37" x14ac:dyDescent="0.25">
      <c r="A26" t="s">
        <v>201</v>
      </c>
      <c r="B26" t="s">
        <v>202</v>
      </c>
      <c r="C26" t="s">
        <v>170</v>
      </c>
      <c r="D26">
        <v>69.341999999999999</v>
      </c>
      <c r="E26">
        <v>71.918000000000006</v>
      </c>
      <c r="F26">
        <v>76.483999999999995</v>
      </c>
      <c r="G26">
        <v>87.370999999999995</v>
      </c>
      <c r="H26">
        <v>89.084999999999994</v>
      </c>
      <c r="I26">
        <v>117.52</v>
      </c>
      <c r="J26">
        <v>125.23399999999999</v>
      </c>
      <c r="K26">
        <v>132.42500000000001</v>
      </c>
      <c r="L26">
        <v>132.64500000000001</v>
      </c>
      <c r="M26">
        <v>136.386</v>
      </c>
      <c r="N26">
        <v>159.91900000000001</v>
      </c>
      <c r="O26">
        <v>136.59200000000001</v>
      </c>
      <c r="P26">
        <v>146.52500000000001</v>
      </c>
      <c r="Q26">
        <v>164.92099999999999</v>
      </c>
      <c r="R26">
        <v>181.27099999999999</v>
      </c>
      <c r="S26">
        <v>195.63499999999999</v>
      </c>
      <c r="T26">
        <v>218.589</v>
      </c>
      <c r="U26">
        <v>236.49</v>
      </c>
      <c r="V26">
        <v>243.25399999999999</v>
      </c>
      <c r="W26">
        <v>258.82900000000001</v>
      </c>
      <c r="X26">
        <v>308.94400000000002</v>
      </c>
      <c r="Y26">
        <v>347.65899999999999</v>
      </c>
      <c r="Z26">
        <v>341.04399999999998</v>
      </c>
      <c r="AA26">
        <v>338.82499999999999</v>
      </c>
      <c r="AB26">
        <v>283.20699999999999</v>
      </c>
      <c r="AC26">
        <v>279.55500000000001</v>
      </c>
      <c r="AD26">
        <v>281.839</v>
      </c>
      <c r="AE26">
        <v>295.16399999999999</v>
      </c>
      <c r="AF26">
        <v>290.06900000000002</v>
      </c>
      <c r="AG26">
        <v>310.38799999999998</v>
      </c>
      <c r="AH26">
        <v>284.80900000000003</v>
      </c>
      <c r="AI26">
        <v>321.70800000000003</v>
      </c>
      <c r="AJ26">
        <v>333.74799999999999</v>
      </c>
      <c r="AK26">
        <v>348.20299999999997</v>
      </c>
    </row>
    <row r="27" spans="1:37" x14ac:dyDescent="0.25">
      <c r="A27" t="s">
        <v>203</v>
      </c>
      <c r="B27" t="s">
        <v>204</v>
      </c>
      <c r="C27" t="s">
        <v>170</v>
      </c>
      <c r="D27">
        <v>74.885000000000005</v>
      </c>
      <c r="E27">
        <v>79.427000000000007</v>
      </c>
      <c r="F27">
        <v>85.081999999999994</v>
      </c>
      <c r="G27">
        <v>93.873000000000005</v>
      </c>
      <c r="H27">
        <v>97.013000000000005</v>
      </c>
      <c r="I27">
        <v>116.30800000000001</v>
      </c>
      <c r="J27">
        <v>119.63200000000001</v>
      </c>
      <c r="K27">
        <v>103.94</v>
      </c>
      <c r="L27">
        <v>108.72799999999999</v>
      </c>
      <c r="M27">
        <v>88.805999999999997</v>
      </c>
      <c r="N27">
        <v>85.022000000000006</v>
      </c>
      <c r="O27">
        <v>85.581999999999994</v>
      </c>
      <c r="P27">
        <v>95.596999999999994</v>
      </c>
      <c r="Q27">
        <v>110.934</v>
      </c>
      <c r="R27">
        <v>124.22499999999999</v>
      </c>
      <c r="S27">
        <v>180.792</v>
      </c>
      <c r="T27">
        <v>203.61699999999999</v>
      </c>
      <c r="U27">
        <v>223.82499999999999</v>
      </c>
      <c r="V27">
        <v>228.62899999999999</v>
      </c>
      <c r="W27">
        <v>237.84</v>
      </c>
      <c r="X27">
        <v>258.786</v>
      </c>
      <c r="Y27">
        <v>288.16699999999997</v>
      </c>
      <c r="Z27">
        <v>281.00200000000001</v>
      </c>
      <c r="AA27">
        <v>290.13200000000001</v>
      </c>
      <c r="AB27">
        <v>270.79199999999997</v>
      </c>
      <c r="AC27">
        <v>284.57900000000001</v>
      </c>
      <c r="AD27">
        <v>282.56900000000002</v>
      </c>
      <c r="AE27">
        <v>299.53500000000003</v>
      </c>
      <c r="AF27">
        <v>281.56799999999998</v>
      </c>
      <c r="AG27">
        <v>283.06799999999998</v>
      </c>
      <c r="AH27">
        <v>277.74099999999999</v>
      </c>
      <c r="AI27">
        <v>266.137</v>
      </c>
      <c r="AJ27">
        <v>258.97699999999998</v>
      </c>
      <c r="AK27">
        <v>266.43099999999998</v>
      </c>
    </row>
    <row r="28" spans="1:37" x14ac:dyDescent="0.25">
      <c r="A28" t="s">
        <v>205</v>
      </c>
      <c r="B28" t="s">
        <v>206</v>
      </c>
      <c r="C28" t="s">
        <v>170</v>
      </c>
      <c r="D28">
        <v>82.540999999999997</v>
      </c>
      <c r="E28">
        <v>90.638000000000005</v>
      </c>
      <c r="F28">
        <v>98.182000000000002</v>
      </c>
      <c r="G28">
        <v>112.575</v>
      </c>
      <c r="H28">
        <v>117.505</v>
      </c>
      <c r="I28">
        <v>156.28200000000001</v>
      </c>
      <c r="J28">
        <v>167.06399999999999</v>
      </c>
      <c r="K28">
        <v>168.81700000000001</v>
      </c>
      <c r="L28">
        <v>173.21299999999999</v>
      </c>
      <c r="M28">
        <v>182.68299999999999</v>
      </c>
      <c r="N28">
        <v>200.91200000000001</v>
      </c>
      <c r="O28">
        <v>210.90799999999999</v>
      </c>
      <c r="P28">
        <v>232.50299999999999</v>
      </c>
      <c r="Q28">
        <v>258.61900000000003</v>
      </c>
      <c r="R28">
        <v>294.58499999999998</v>
      </c>
      <c r="S28">
        <v>338.447</v>
      </c>
      <c r="T28">
        <v>369.99200000000002</v>
      </c>
      <c r="U28">
        <v>398.61500000000001</v>
      </c>
      <c r="V28">
        <v>403.03399999999999</v>
      </c>
      <c r="W28">
        <v>418.399</v>
      </c>
      <c r="X28">
        <v>447.71899999999999</v>
      </c>
      <c r="Y28">
        <v>500.464</v>
      </c>
      <c r="Z28">
        <v>481.75799999999998</v>
      </c>
      <c r="AA28">
        <v>490.82600000000002</v>
      </c>
      <c r="AB28">
        <v>479.80399999999997</v>
      </c>
      <c r="AC28">
        <v>482.95</v>
      </c>
      <c r="AD28">
        <v>474.36399999999998</v>
      </c>
      <c r="AE28">
        <v>507.13200000000001</v>
      </c>
      <c r="AF28">
        <v>513.99800000000005</v>
      </c>
      <c r="AG28">
        <v>511.27300000000002</v>
      </c>
      <c r="AH28">
        <v>530.69600000000003</v>
      </c>
      <c r="AI28">
        <v>621.10799999999995</v>
      </c>
      <c r="AJ28">
        <v>616.86</v>
      </c>
      <c r="AK28">
        <v>661.91899999999998</v>
      </c>
    </row>
    <row r="29" spans="1:37" x14ac:dyDescent="0.25">
      <c r="A29" t="s">
        <v>207</v>
      </c>
      <c r="B29" t="s">
        <v>208</v>
      </c>
      <c r="C29" t="s">
        <v>170</v>
      </c>
      <c r="D29">
        <v>33.795000000000002</v>
      </c>
      <c r="E29">
        <v>36.694000000000003</v>
      </c>
      <c r="F29">
        <v>40.154000000000003</v>
      </c>
      <c r="G29">
        <v>45.281999999999996</v>
      </c>
      <c r="H29">
        <v>47.213999999999999</v>
      </c>
      <c r="I29">
        <v>58.697000000000003</v>
      </c>
      <c r="J29">
        <v>58.646999999999998</v>
      </c>
      <c r="K29">
        <v>55.390999999999998</v>
      </c>
      <c r="L29">
        <v>55.594000000000001</v>
      </c>
      <c r="M29">
        <v>56.551000000000002</v>
      </c>
      <c r="N29">
        <v>60.255000000000003</v>
      </c>
      <c r="O29">
        <v>57.710999999999999</v>
      </c>
      <c r="P29">
        <v>57.466000000000001</v>
      </c>
      <c r="Q29">
        <v>66.203000000000003</v>
      </c>
      <c r="R29">
        <v>80.626000000000005</v>
      </c>
      <c r="S29">
        <v>82.096000000000004</v>
      </c>
      <c r="T29">
        <v>99.974000000000004</v>
      </c>
      <c r="U29">
        <v>124.04</v>
      </c>
      <c r="V29">
        <v>125.158</v>
      </c>
      <c r="W29">
        <v>143.34700000000001</v>
      </c>
      <c r="X29">
        <v>167.86099999999999</v>
      </c>
      <c r="Y29">
        <v>190.59399999999999</v>
      </c>
      <c r="Z29">
        <v>199.37100000000001</v>
      </c>
      <c r="AA29">
        <v>207.29599999999999</v>
      </c>
      <c r="AB29">
        <v>199.63200000000001</v>
      </c>
      <c r="AC29">
        <v>190.04</v>
      </c>
      <c r="AD29">
        <v>195.90600000000001</v>
      </c>
      <c r="AE29">
        <v>200.79300000000001</v>
      </c>
      <c r="AF29">
        <v>212.761</v>
      </c>
      <c r="AG29">
        <v>228.51499999999999</v>
      </c>
      <c r="AH29">
        <v>247.16</v>
      </c>
      <c r="AI29">
        <v>258.71699999999998</v>
      </c>
      <c r="AJ29">
        <v>250.494</v>
      </c>
      <c r="AK29">
        <v>260.952</v>
      </c>
    </row>
    <row r="30" spans="1:37" x14ac:dyDescent="0.25">
      <c r="A30" t="s">
        <v>209</v>
      </c>
      <c r="B30" t="s">
        <v>210</v>
      </c>
      <c r="C30" t="s">
        <v>170</v>
      </c>
      <c r="D30">
        <v>2.0979999999999999</v>
      </c>
      <c r="E30">
        <v>2.3540000000000001</v>
      </c>
      <c r="F30">
        <v>2.8959999999999999</v>
      </c>
      <c r="G30">
        <v>3.2730000000000001</v>
      </c>
      <c r="H30">
        <v>3.3330000000000002</v>
      </c>
      <c r="I30">
        <v>4.6070000000000002</v>
      </c>
      <c r="J30">
        <v>5.0289999999999999</v>
      </c>
      <c r="K30">
        <v>5.9489999999999998</v>
      </c>
      <c r="L30">
        <v>8.3279999999999994</v>
      </c>
      <c r="M30">
        <v>6.6349999999999998</v>
      </c>
      <c r="N30">
        <v>7.1130000000000004</v>
      </c>
      <c r="O30">
        <v>7.5380000000000003</v>
      </c>
      <c r="P30">
        <v>10.196999999999999</v>
      </c>
      <c r="Q30">
        <v>12.645</v>
      </c>
      <c r="R30">
        <v>11.651</v>
      </c>
      <c r="S30">
        <v>16.966999999999999</v>
      </c>
      <c r="T30">
        <v>19.498000000000001</v>
      </c>
      <c r="U30">
        <v>21.459</v>
      </c>
      <c r="V30">
        <v>23.736999999999998</v>
      </c>
      <c r="W30">
        <v>25.992000000000001</v>
      </c>
      <c r="X30">
        <v>26.303999999999998</v>
      </c>
      <c r="Y30">
        <v>33.662999999999997</v>
      </c>
      <c r="Z30">
        <v>36.097999999999999</v>
      </c>
      <c r="AA30">
        <v>41.122999999999998</v>
      </c>
      <c r="AB30">
        <v>40.884</v>
      </c>
      <c r="AC30">
        <v>43.276000000000003</v>
      </c>
      <c r="AD30">
        <v>38.588000000000001</v>
      </c>
      <c r="AE30">
        <v>42.091000000000001</v>
      </c>
      <c r="AF30">
        <v>43.484999999999999</v>
      </c>
      <c r="AG30">
        <v>42.485999999999997</v>
      </c>
      <c r="AH30">
        <v>40.496000000000002</v>
      </c>
      <c r="AI30">
        <v>40.633000000000003</v>
      </c>
      <c r="AJ30">
        <v>39.515000000000001</v>
      </c>
      <c r="AK30">
        <v>43.598999999999997</v>
      </c>
    </row>
    <row r="31" spans="1:37" x14ac:dyDescent="0.25">
      <c r="A31" t="s">
        <v>211</v>
      </c>
      <c r="B31" t="s">
        <v>212</v>
      </c>
      <c r="C31" t="s">
        <v>170</v>
      </c>
      <c r="D31">
        <v>33.281999999999996</v>
      </c>
      <c r="E31">
        <v>35.173999999999999</v>
      </c>
      <c r="F31">
        <v>37.201999999999998</v>
      </c>
      <c r="G31">
        <v>41.298000000000002</v>
      </c>
      <c r="H31">
        <v>42.116999999999997</v>
      </c>
      <c r="I31">
        <v>48.572000000000003</v>
      </c>
      <c r="J31">
        <v>51.746000000000002</v>
      </c>
      <c r="K31">
        <v>58.176000000000002</v>
      </c>
      <c r="L31">
        <v>64.34</v>
      </c>
      <c r="M31">
        <v>69.989999999999995</v>
      </c>
      <c r="N31">
        <v>73.605999999999995</v>
      </c>
      <c r="O31">
        <v>67.498000000000005</v>
      </c>
      <c r="P31">
        <v>72.953000000000003</v>
      </c>
      <c r="Q31">
        <v>69.53</v>
      </c>
      <c r="R31">
        <v>71.572999999999993</v>
      </c>
      <c r="S31">
        <v>87.945999999999998</v>
      </c>
      <c r="T31">
        <v>98.343000000000004</v>
      </c>
      <c r="U31">
        <v>106.18300000000001</v>
      </c>
      <c r="V31">
        <v>132.07400000000001</v>
      </c>
      <c r="W31">
        <v>136.07400000000001</v>
      </c>
      <c r="X31">
        <v>143.26400000000001</v>
      </c>
      <c r="Y31">
        <v>160.32300000000001</v>
      </c>
      <c r="Z31">
        <v>166.89</v>
      </c>
      <c r="AA31">
        <v>158.89400000000001</v>
      </c>
      <c r="AB31">
        <v>158.77099999999999</v>
      </c>
      <c r="AC31">
        <v>161.50200000000001</v>
      </c>
      <c r="AD31">
        <v>156.077</v>
      </c>
      <c r="AE31">
        <v>155.90100000000001</v>
      </c>
      <c r="AF31">
        <v>150.386</v>
      </c>
      <c r="AG31">
        <v>150.62</v>
      </c>
      <c r="AH31">
        <v>150.37299999999999</v>
      </c>
      <c r="AI31">
        <v>161.22399999999999</v>
      </c>
      <c r="AJ31">
        <v>158.208</v>
      </c>
      <c r="AK31">
        <v>167.87</v>
      </c>
    </row>
    <row r="32" spans="1:37" x14ac:dyDescent="0.25">
      <c r="A32" t="s">
        <v>213</v>
      </c>
      <c r="B32" t="s">
        <v>214</v>
      </c>
      <c r="C32" t="s">
        <v>170</v>
      </c>
      <c r="D32">
        <v>103.84699999999999</v>
      </c>
      <c r="E32">
        <v>103.40300000000001</v>
      </c>
      <c r="F32">
        <v>109.041</v>
      </c>
      <c r="G32">
        <v>117.81100000000001</v>
      </c>
      <c r="H32">
        <v>120.779</v>
      </c>
      <c r="I32">
        <v>126.30800000000001</v>
      </c>
      <c r="J32">
        <v>131.82300000000001</v>
      </c>
      <c r="K32">
        <v>143.459</v>
      </c>
      <c r="L32">
        <v>136.333</v>
      </c>
      <c r="M32">
        <v>123.626</v>
      </c>
      <c r="N32">
        <v>121.267</v>
      </c>
      <c r="O32">
        <v>124.324</v>
      </c>
      <c r="P32">
        <v>139.55600000000001</v>
      </c>
      <c r="Q32">
        <v>174.82</v>
      </c>
      <c r="R32">
        <v>190.28700000000001</v>
      </c>
      <c r="S32">
        <v>175.411</v>
      </c>
      <c r="T32">
        <v>196.518</v>
      </c>
      <c r="U32">
        <v>214.26900000000001</v>
      </c>
      <c r="V32">
        <v>236.68700000000001</v>
      </c>
      <c r="W32">
        <v>262.24400000000003</v>
      </c>
      <c r="X32">
        <v>293.42399999999998</v>
      </c>
      <c r="Y32">
        <v>292.89299999999997</v>
      </c>
      <c r="Z32">
        <v>310.57100000000003</v>
      </c>
      <c r="AA32">
        <v>321.26600000000002</v>
      </c>
      <c r="AB32">
        <v>314.553</v>
      </c>
      <c r="AC32">
        <v>300.62200000000001</v>
      </c>
      <c r="AD32">
        <v>284.81700000000001</v>
      </c>
      <c r="AE32">
        <v>286.62400000000002</v>
      </c>
      <c r="AF32">
        <v>265.44299999999998</v>
      </c>
      <c r="AG32">
        <v>279.72699999999998</v>
      </c>
      <c r="AH32">
        <v>271.73399999999998</v>
      </c>
      <c r="AI32">
        <v>280.23700000000002</v>
      </c>
      <c r="AJ32">
        <v>273.238</v>
      </c>
      <c r="AK32">
        <v>288.476</v>
      </c>
    </row>
    <row r="33" spans="1:37" x14ac:dyDescent="0.25">
      <c r="A33" t="s">
        <v>215</v>
      </c>
      <c r="B33" t="s">
        <v>216</v>
      </c>
      <c r="C33" t="s">
        <v>170</v>
      </c>
      <c r="D33">
        <v>39.226999999999997</v>
      </c>
      <c r="E33">
        <v>40.292000000000002</v>
      </c>
      <c r="F33">
        <v>42.249000000000002</v>
      </c>
      <c r="G33">
        <v>45.688000000000002</v>
      </c>
      <c r="H33">
        <v>46.908000000000001</v>
      </c>
      <c r="I33">
        <v>65.814999999999998</v>
      </c>
      <c r="J33">
        <v>70.474999999999994</v>
      </c>
      <c r="K33">
        <v>77.418999999999997</v>
      </c>
      <c r="L33">
        <v>82.465000000000003</v>
      </c>
      <c r="M33">
        <v>83.933999999999997</v>
      </c>
      <c r="N33">
        <v>88.912999999999997</v>
      </c>
      <c r="O33">
        <v>88.790999999999997</v>
      </c>
      <c r="P33">
        <v>93.337000000000003</v>
      </c>
      <c r="Q33">
        <v>117.28</v>
      </c>
      <c r="R33">
        <v>129.05000000000001</v>
      </c>
      <c r="S33">
        <v>148.40899999999999</v>
      </c>
      <c r="T33">
        <v>172.506</v>
      </c>
      <c r="U33">
        <v>181.07300000000001</v>
      </c>
      <c r="V33">
        <v>169.98</v>
      </c>
      <c r="W33">
        <v>188.285</v>
      </c>
      <c r="X33">
        <v>192.441</v>
      </c>
      <c r="Y33">
        <v>207.45500000000001</v>
      </c>
      <c r="Z33">
        <v>225.73</v>
      </c>
      <c r="AA33">
        <v>243.13300000000001</v>
      </c>
      <c r="AB33">
        <v>231.57</v>
      </c>
      <c r="AC33">
        <v>223.95099999999999</v>
      </c>
      <c r="AD33">
        <v>247.785</v>
      </c>
      <c r="AE33">
        <v>256.62900000000002</v>
      </c>
      <c r="AF33">
        <v>257.55599999999998</v>
      </c>
      <c r="AG33">
        <v>268.55599999999998</v>
      </c>
      <c r="AH33">
        <v>271.21800000000002</v>
      </c>
      <c r="AI33">
        <v>273.553</v>
      </c>
      <c r="AJ33">
        <v>273.589</v>
      </c>
      <c r="AK33">
        <v>279.19099999999997</v>
      </c>
    </row>
    <row r="34" spans="1:37" x14ac:dyDescent="0.25">
      <c r="A34" t="s">
        <v>217</v>
      </c>
      <c r="B34" t="s">
        <v>218</v>
      </c>
      <c r="C34" t="s">
        <v>170</v>
      </c>
      <c r="D34">
        <v>40.198</v>
      </c>
      <c r="E34">
        <v>42.052</v>
      </c>
      <c r="F34">
        <v>45.256999999999998</v>
      </c>
      <c r="G34">
        <v>50.918999999999997</v>
      </c>
      <c r="H34">
        <v>52.213000000000001</v>
      </c>
      <c r="I34">
        <v>54.451000000000001</v>
      </c>
      <c r="J34">
        <v>59.883000000000003</v>
      </c>
      <c r="K34">
        <v>64.55</v>
      </c>
      <c r="L34">
        <v>64.447000000000003</v>
      </c>
      <c r="M34">
        <v>63.814999999999998</v>
      </c>
      <c r="N34">
        <v>64.061999999999998</v>
      </c>
      <c r="O34">
        <v>70.323999999999998</v>
      </c>
      <c r="P34">
        <v>80.462999999999994</v>
      </c>
      <c r="Q34">
        <v>96.649000000000001</v>
      </c>
      <c r="R34">
        <v>74.804000000000002</v>
      </c>
      <c r="S34">
        <v>140.83600000000001</v>
      </c>
      <c r="T34">
        <v>157.27799999999999</v>
      </c>
      <c r="U34">
        <v>164.01599999999999</v>
      </c>
      <c r="V34">
        <v>167.60900000000001</v>
      </c>
      <c r="W34">
        <v>186.43299999999999</v>
      </c>
      <c r="X34">
        <v>192.51900000000001</v>
      </c>
      <c r="Y34">
        <v>196.90199999999999</v>
      </c>
      <c r="Z34">
        <v>207.291</v>
      </c>
      <c r="AA34">
        <v>207.53700000000001</v>
      </c>
      <c r="AB34">
        <v>194.34800000000001</v>
      </c>
      <c r="AC34">
        <v>169.48699999999999</v>
      </c>
      <c r="AD34">
        <v>179.16399999999999</v>
      </c>
      <c r="AE34">
        <v>193.69499999999999</v>
      </c>
      <c r="AF34">
        <v>198.643</v>
      </c>
      <c r="AG34">
        <v>208.268</v>
      </c>
      <c r="AH34">
        <v>229.05500000000001</v>
      </c>
      <c r="AI34">
        <v>226.56299999999999</v>
      </c>
      <c r="AJ34">
        <v>209.45400000000001</v>
      </c>
      <c r="AK34">
        <v>217.81200000000001</v>
      </c>
    </row>
    <row r="35" spans="1:37" x14ac:dyDescent="0.25">
      <c r="A35" t="s">
        <v>219</v>
      </c>
      <c r="B35" t="s">
        <v>220</v>
      </c>
      <c r="C35" t="s">
        <v>170</v>
      </c>
      <c r="D35">
        <v>0.51300000000000001</v>
      </c>
      <c r="E35">
        <v>0.58499999999999996</v>
      </c>
      <c r="F35">
        <v>0.67600000000000005</v>
      </c>
      <c r="G35">
        <v>0.81799999999999995</v>
      </c>
      <c r="H35">
        <v>0.72199999999999998</v>
      </c>
      <c r="I35">
        <v>0.81200000000000006</v>
      </c>
      <c r="J35">
        <v>0.90200000000000002</v>
      </c>
      <c r="K35">
        <v>0.95299999999999996</v>
      </c>
      <c r="L35">
        <v>0.91600000000000004</v>
      </c>
      <c r="M35">
        <v>1.0649999999999999</v>
      </c>
      <c r="N35">
        <v>1.145</v>
      </c>
      <c r="O35">
        <v>1.1719999999999999</v>
      </c>
      <c r="P35">
        <v>1.28</v>
      </c>
      <c r="Q35">
        <v>1.2689999999999999</v>
      </c>
      <c r="R35">
        <v>2.1030000000000002</v>
      </c>
      <c r="S35">
        <v>1.893</v>
      </c>
      <c r="T35">
        <v>2.2789999999999999</v>
      </c>
      <c r="U35">
        <v>2.585</v>
      </c>
      <c r="V35">
        <v>3.012</v>
      </c>
      <c r="W35">
        <v>3.415</v>
      </c>
      <c r="X35">
        <v>3.782</v>
      </c>
      <c r="Y35">
        <v>4.0730000000000004</v>
      </c>
      <c r="Z35">
        <v>4.3929999999999998</v>
      </c>
      <c r="AA35">
        <v>4.1630000000000003</v>
      </c>
      <c r="AB35">
        <v>4.3840000000000003</v>
      </c>
      <c r="AC35">
        <v>6.2380000000000004</v>
      </c>
      <c r="AD35">
        <v>6.6189999999999998</v>
      </c>
      <c r="AE35">
        <v>6.6289999999999996</v>
      </c>
      <c r="AF35">
        <v>7.298</v>
      </c>
      <c r="AG35">
        <v>7.4279999999999999</v>
      </c>
      <c r="AH35">
        <v>8.5229999999999997</v>
      </c>
      <c r="AI35">
        <v>8.0830000000000002</v>
      </c>
      <c r="AJ35">
        <v>6.9530000000000003</v>
      </c>
      <c r="AK35">
        <v>9.4849999999999994</v>
      </c>
    </row>
    <row r="36" spans="1:37" x14ac:dyDescent="0.25">
      <c r="A36" t="s">
        <v>221</v>
      </c>
      <c r="B36" t="s">
        <v>222</v>
      </c>
      <c r="C36" t="s">
        <v>170</v>
      </c>
      <c r="D36">
        <v>47.548999999999999</v>
      </c>
      <c r="E36">
        <v>50.384</v>
      </c>
      <c r="F36">
        <v>54.064999999999998</v>
      </c>
      <c r="G36">
        <v>60.072000000000003</v>
      </c>
      <c r="H36">
        <v>62.664000000000001</v>
      </c>
      <c r="I36">
        <v>71.257000000000005</v>
      </c>
      <c r="J36">
        <v>74.866</v>
      </c>
      <c r="K36">
        <v>70.037999999999997</v>
      </c>
      <c r="L36">
        <v>68.106999999999999</v>
      </c>
      <c r="M36">
        <v>64.352999999999994</v>
      </c>
      <c r="N36">
        <v>63.198</v>
      </c>
      <c r="O36">
        <v>71.683999999999997</v>
      </c>
      <c r="P36">
        <v>79.156999999999996</v>
      </c>
      <c r="Q36">
        <v>89.518000000000001</v>
      </c>
      <c r="R36">
        <v>102.575</v>
      </c>
      <c r="S36">
        <v>109.405</v>
      </c>
      <c r="T36">
        <v>120.375</v>
      </c>
      <c r="U36">
        <v>142.393</v>
      </c>
      <c r="V36">
        <v>161.16800000000001</v>
      </c>
      <c r="W36">
        <v>180.40700000000001</v>
      </c>
      <c r="X36">
        <v>213.22</v>
      </c>
      <c r="Y36">
        <v>234.524</v>
      </c>
      <c r="Z36">
        <v>252.429</v>
      </c>
      <c r="AA36">
        <v>257.18400000000003</v>
      </c>
      <c r="AB36">
        <v>264.45100000000002</v>
      </c>
      <c r="AC36">
        <v>262.96800000000002</v>
      </c>
      <c r="AD36">
        <v>255.905</v>
      </c>
      <c r="AE36">
        <v>248.90600000000001</v>
      </c>
      <c r="AF36">
        <v>249.762</v>
      </c>
      <c r="AG36">
        <v>274.79399999999998</v>
      </c>
      <c r="AH36">
        <v>290.82100000000003</v>
      </c>
      <c r="AI36">
        <v>320.11399999999998</v>
      </c>
      <c r="AJ36">
        <v>343.34899999999999</v>
      </c>
      <c r="AK36">
        <v>359.35300000000001</v>
      </c>
    </row>
    <row r="37" spans="1:37" x14ac:dyDescent="0.25">
      <c r="A37" t="s">
        <v>223</v>
      </c>
      <c r="B37" t="s">
        <v>224</v>
      </c>
      <c r="C37" t="s">
        <v>170</v>
      </c>
      <c r="D37">
        <v>36.767000000000003</v>
      </c>
      <c r="E37">
        <v>39.045000000000002</v>
      </c>
      <c r="F37">
        <v>41.493000000000002</v>
      </c>
      <c r="G37">
        <v>47.183</v>
      </c>
      <c r="H37">
        <v>49.631999999999998</v>
      </c>
      <c r="I37">
        <v>51.634999999999998</v>
      </c>
      <c r="J37">
        <v>52.29</v>
      </c>
      <c r="K37">
        <v>49.911999999999999</v>
      </c>
      <c r="L37">
        <v>50.735999999999997</v>
      </c>
      <c r="M37">
        <v>52.125999999999998</v>
      </c>
      <c r="N37">
        <v>54.892000000000003</v>
      </c>
      <c r="O37">
        <v>56.722999999999999</v>
      </c>
      <c r="P37">
        <v>62.213000000000001</v>
      </c>
      <c r="Q37">
        <v>71.203999999999994</v>
      </c>
      <c r="R37">
        <v>80.617999999999995</v>
      </c>
      <c r="S37">
        <v>89.837000000000003</v>
      </c>
      <c r="T37">
        <v>94.084000000000003</v>
      </c>
      <c r="U37">
        <v>102.68300000000001</v>
      </c>
      <c r="V37">
        <v>111.066</v>
      </c>
      <c r="W37">
        <v>107.027</v>
      </c>
      <c r="X37">
        <v>128.346</v>
      </c>
      <c r="Y37">
        <v>149.62700000000001</v>
      </c>
      <c r="Z37">
        <v>157.137</v>
      </c>
      <c r="AA37">
        <v>158.06899999999999</v>
      </c>
      <c r="AB37">
        <v>157.34100000000001</v>
      </c>
      <c r="AC37">
        <v>156.202</v>
      </c>
      <c r="AD37">
        <v>151.167</v>
      </c>
      <c r="AE37">
        <v>150.93799999999999</v>
      </c>
      <c r="AF37">
        <v>158.47</v>
      </c>
      <c r="AG37">
        <v>158.58199999999999</v>
      </c>
      <c r="AH37">
        <v>167.58099999999999</v>
      </c>
      <c r="AI37">
        <v>181.28100000000001</v>
      </c>
      <c r="AJ37">
        <v>183.94200000000001</v>
      </c>
      <c r="AK37">
        <v>193.99100000000001</v>
      </c>
    </row>
    <row r="38" spans="1:37" x14ac:dyDescent="0.25">
      <c r="A38" t="s">
        <v>225</v>
      </c>
      <c r="B38" t="s">
        <v>226</v>
      </c>
      <c r="C38" t="s">
        <v>170</v>
      </c>
      <c r="D38">
        <v>10.807</v>
      </c>
      <c r="E38">
        <v>11.199</v>
      </c>
      <c r="F38">
        <v>11.448</v>
      </c>
      <c r="G38">
        <v>12.06</v>
      </c>
      <c r="H38">
        <v>12.084</v>
      </c>
      <c r="I38">
        <v>11.45</v>
      </c>
      <c r="J38">
        <v>11.673</v>
      </c>
      <c r="K38">
        <v>12.858000000000001</v>
      </c>
      <c r="L38">
        <v>13.028</v>
      </c>
      <c r="M38">
        <v>15.331</v>
      </c>
      <c r="N38">
        <v>14.085000000000001</v>
      </c>
      <c r="O38">
        <v>17.254999999999999</v>
      </c>
      <c r="P38">
        <v>18.428000000000001</v>
      </c>
      <c r="Q38">
        <v>20.510999999999999</v>
      </c>
      <c r="R38">
        <v>21.774000000000001</v>
      </c>
      <c r="S38">
        <v>22.314</v>
      </c>
      <c r="T38">
        <v>26.754000000000001</v>
      </c>
      <c r="U38">
        <v>27.850999999999999</v>
      </c>
      <c r="V38">
        <v>30.994</v>
      </c>
      <c r="W38">
        <v>31.068000000000001</v>
      </c>
      <c r="X38">
        <v>31.728000000000002</v>
      </c>
      <c r="Y38">
        <v>36.904000000000003</v>
      </c>
      <c r="Z38">
        <v>42.575000000000003</v>
      </c>
      <c r="AA38">
        <v>41.521000000000001</v>
      </c>
      <c r="AB38">
        <v>46.77</v>
      </c>
      <c r="AC38">
        <v>48.648000000000003</v>
      </c>
      <c r="AD38">
        <v>54.871000000000002</v>
      </c>
      <c r="AE38">
        <v>46.386000000000003</v>
      </c>
      <c r="AF38">
        <v>43.670999999999999</v>
      </c>
      <c r="AG38">
        <v>42.911000000000001</v>
      </c>
      <c r="AH38">
        <v>45.48</v>
      </c>
      <c r="AI38">
        <v>53.139000000000003</v>
      </c>
      <c r="AJ38">
        <v>50.424999999999997</v>
      </c>
      <c r="AK38">
        <v>53.965000000000003</v>
      </c>
    </row>
    <row r="39" spans="1:37" x14ac:dyDescent="0.25">
      <c r="A39" t="s">
        <v>227</v>
      </c>
      <c r="B39" t="s">
        <v>228</v>
      </c>
      <c r="C39" t="s">
        <v>170</v>
      </c>
      <c r="D39">
        <v>13.403</v>
      </c>
      <c r="E39">
        <v>14.087999999999999</v>
      </c>
      <c r="F39">
        <v>15.002000000000001</v>
      </c>
      <c r="G39">
        <v>16.393999999999998</v>
      </c>
      <c r="H39">
        <v>17.018000000000001</v>
      </c>
      <c r="I39">
        <v>17.491</v>
      </c>
      <c r="J39">
        <v>18.045000000000002</v>
      </c>
      <c r="K39">
        <v>17.765000000000001</v>
      </c>
      <c r="L39">
        <v>18.61</v>
      </c>
      <c r="M39">
        <v>18.678000000000001</v>
      </c>
      <c r="N39">
        <v>24.036999999999999</v>
      </c>
      <c r="O39">
        <v>28.622</v>
      </c>
      <c r="P39">
        <v>33.161000000000001</v>
      </c>
      <c r="Q39">
        <v>35.895000000000003</v>
      </c>
      <c r="R39">
        <v>49.816000000000003</v>
      </c>
      <c r="S39">
        <v>51.03</v>
      </c>
      <c r="T39">
        <v>57.595999999999997</v>
      </c>
      <c r="U39">
        <v>68.331999999999994</v>
      </c>
      <c r="V39">
        <v>73.245000000000005</v>
      </c>
      <c r="W39">
        <v>81.623999999999995</v>
      </c>
      <c r="X39">
        <v>94.885000000000005</v>
      </c>
      <c r="Y39">
        <v>136.09399999999999</v>
      </c>
      <c r="Z39">
        <v>134.971</v>
      </c>
      <c r="AA39">
        <v>137.172</v>
      </c>
      <c r="AB39">
        <v>136.80000000000001</v>
      </c>
      <c r="AC39">
        <v>134.31299999999999</v>
      </c>
      <c r="AD39">
        <v>136.19</v>
      </c>
      <c r="AE39">
        <v>179.42099999999999</v>
      </c>
      <c r="AF39">
        <v>191.11</v>
      </c>
      <c r="AG39">
        <v>211.71299999999999</v>
      </c>
      <c r="AH39">
        <v>230.32300000000001</v>
      </c>
      <c r="AI39">
        <v>236.35</v>
      </c>
      <c r="AJ39">
        <v>243.59399999999999</v>
      </c>
      <c r="AK39">
        <v>256.16199999999998</v>
      </c>
    </row>
    <row r="40" spans="1:37" x14ac:dyDescent="0.25">
      <c r="A40" t="s">
        <v>229</v>
      </c>
      <c r="B40" t="s">
        <v>230</v>
      </c>
      <c r="C40" t="s">
        <v>170</v>
      </c>
      <c r="D40">
        <v>39.246000000000002</v>
      </c>
      <c r="E40">
        <v>40.366999999999997</v>
      </c>
      <c r="F40">
        <v>42.271999999999998</v>
      </c>
      <c r="G40">
        <v>49.625</v>
      </c>
      <c r="H40">
        <v>49.966000000000001</v>
      </c>
      <c r="I40">
        <v>57.81</v>
      </c>
      <c r="J40">
        <v>65.394000000000005</v>
      </c>
      <c r="K40">
        <v>65.712999999999994</v>
      </c>
      <c r="L40">
        <v>67.384</v>
      </c>
      <c r="M40">
        <v>68.62</v>
      </c>
      <c r="N40">
        <v>72.968999999999994</v>
      </c>
      <c r="O40">
        <v>76.554000000000002</v>
      </c>
      <c r="P40">
        <v>75.239000000000004</v>
      </c>
      <c r="Q40">
        <v>82.537999999999997</v>
      </c>
      <c r="R40">
        <v>97.472999999999999</v>
      </c>
      <c r="S40">
        <v>102.334</v>
      </c>
      <c r="T40">
        <v>115.131</v>
      </c>
      <c r="U40">
        <v>125.514</v>
      </c>
      <c r="V40">
        <v>140.726</v>
      </c>
      <c r="W40">
        <v>160.042</v>
      </c>
      <c r="X40">
        <v>170.08</v>
      </c>
      <c r="Y40">
        <v>207.261</v>
      </c>
      <c r="Z40">
        <v>260.20800000000003</v>
      </c>
      <c r="AA40">
        <v>296.19400000000002</v>
      </c>
      <c r="AB40">
        <v>322.947</v>
      </c>
      <c r="AC40">
        <v>344.04599999999999</v>
      </c>
      <c r="AD40">
        <v>362.72500000000002</v>
      </c>
      <c r="AE40">
        <v>387.91500000000002</v>
      </c>
      <c r="AF40">
        <v>407.64800000000002</v>
      </c>
      <c r="AG40">
        <v>451.36</v>
      </c>
      <c r="AH40">
        <v>475.91</v>
      </c>
      <c r="AI40">
        <v>531.10199999999998</v>
      </c>
      <c r="AJ40">
        <v>531.46600000000001</v>
      </c>
      <c r="AK40">
        <v>564.63499999999999</v>
      </c>
    </row>
    <row r="41" spans="1:37" ht="14.4" x14ac:dyDescent="0.25">
      <c r="A41" s="33" t="s">
        <v>231</v>
      </c>
      <c r="D41" s="1">
        <f>SUM(D10:D40)</f>
        <v>2010.1890000000005</v>
      </c>
      <c r="E41" s="1">
        <f t="shared" ref="E41:AK41" si="0">SUM(E10:E40)</f>
        <v>2111.6380000000004</v>
      </c>
      <c r="F41" s="1">
        <f t="shared" si="0"/>
        <v>2269.5429999999992</v>
      </c>
      <c r="G41" s="1">
        <f t="shared" si="0"/>
        <v>2526.6630000000009</v>
      </c>
      <c r="H41" s="1">
        <f t="shared" si="0"/>
        <v>2613.6360000000004</v>
      </c>
      <c r="I41" s="1">
        <f t="shared" si="0"/>
        <v>2892.6240000000003</v>
      </c>
      <c r="J41" s="1">
        <f t="shared" si="0"/>
        <v>3008.0409999999993</v>
      </c>
      <c r="K41" s="1">
        <f t="shared" si="0"/>
        <v>3037.2870000000003</v>
      </c>
      <c r="L41" s="1">
        <f t="shared" si="0"/>
        <v>3050.3320000000012</v>
      </c>
      <c r="M41" s="1">
        <f t="shared" si="0"/>
        <v>3096.0660000000007</v>
      </c>
      <c r="N41" s="1">
        <f t="shared" si="0"/>
        <v>3250.7279999999992</v>
      </c>
      <c r="O41" s="1">
        <f t="shared" si="0"/>
        <v>3400.8150000000005</v>
      </c>
      <c r="P41" s="1">
        <f t="shared" si="0"/>
        <v>3696.1290000000017</v>
      </c>
      <c r="Q41" s="1">
        <f t="shared" si="0"/>
        <v>4223.3050000000003</v>
      </c>
      <c r="R41" s="1">
        <f t="shared" si="0"/>
        <v>4782.1850000000004</v>
      </c>
      <c r="S41" s="1">
        <f t="shared" si="0"/>
        <v>5546.396999999999</v>
      </c>
      <c r="T41" s="1">
        <f t="shared" si="0"/>
        <v>6161.1060000000016</v>
      </c>
      <c r="U41" s="1">
        <f t="shared" si="0"/>
        <v>6758.195999999999</v>
      </c>
      <c r="V41" s="1">
        <f t="shared" si="0"/>
        <v>7152.3709999999974</v>
      </c>
      <c r="W41" s="1">
        <f t="shared" si="0"/>
        <v>7512.9429999999993</v>
      </c>
      <c r="X41" s="1">
        <f t="shared" si="0"/>
        <v>8196.0130000000026</v>
      </c>
      <c r="Y41" s="1">
        <f t="shared" si="0"/>
        <v>9109.76</v>
      </c>
      <c r="Z41" s="1">
        <f t="shared" si="0"/>
        <v>9331.2960000000003</v>
      </c>
      <c r="AA41" s="1">
        <f t="shared" si="0"/>
        <v>9395.2829999999994</v>
      </c>
      <c r="AB41" s="1">
        <f t="shared" si="0"/>
        <v>9286</v>
      </c>
      <c r="AC41" s="1">
        <f t="shared" si="0"/>
        <v>9189.0059999999994</v>
      </c>
      <c r="AD41" s="1">
        <f t="shared" si="0"/>
        <v>9252.6010000000024</v>
      </c>
      <c r="AE41" s="1">
        <f t="shared" si="0"/>
        <v>9461.755000000001</v>
      </c>
      <c r="AF41" s="1">
        <f t="shared" si="0"/>
        <v>9787.5630000000019</v>
      </c>
      <c r="AG41" s="1">
        <f t="shared" si="0"/>
        <v>10088.918000000001</v>
      </c>
      <c r="AH41" s="1">
        <f t="shared" si="0"/>
        <v>10166.222</v>
      </c>
      <c r="AI41" s="1">
        <f t="shared" si="0"/>
        <v>10641.430999999999</v>
      </c>
      <c r="AJ41" s="1">
        <f t="shared" si="0"/>
        <v>10612.200999999995</v>
      </c>
      <c r="AK41" s="1">
        <f>SUM(AK10:AK40)</f>
        <v>11179.447000000002</v>
      </c>
    </row>
    <row r="42" spans="1:37" ht="14.4" x14ac:dyDescent="0.25">
      <c r="A42" s="33" t="s">
        <v>232</v>
      </c>
      <c r="D42" s="1">
        <v>2446.8006505799999</v>
      </c>
      <c r="E42" s="1">
        <v>2579.2881100433333</v>
      </c>
      <c r="F42" s="1">
        <v>2708.7504213000002</v>
      </c>
      <c r="G42" s="1">
        <v>2863.5880135133325</v>
      </c>
      <c r="H42" s="1">
        <v>3019.1902798200003</v>
      </c>
      <c r="I42" s="1">
        <v>3213.0577379999995</v>
      </c>
      <c r="J42" s="1">
        <v>3293.5955137066667</v>
      </c>
      <c r="K42" s="1">
        <v>3293.9611966800003</v>
      </c>
      <c r="L42" s="1">
        <v>3305.3195727200005</v>
      </c>
      <c r="M42" s="1">
        <v>3413.6914568899997</v>
      </c>
      <c r="N42" s="1">
        <v>3504.8405814399994</v>
      </c>
      <c r="O42" s="1">
        <v>3666.6638038799993</v>
      </c>
      <c r="P42" s="1">
        <v>4010.6328421133326</v>
      </c>
      <c r="Q42" s="1">
        <v>4715.1457376099997</v>
      </c>
      <c r="R42" s="1">
        <v>5499.5516519166658</v>
      </c>
      <c r="S42" s="1">
        <v>6286.6231764600006</v>
      </c>
      <c r="T42" s="1">
        <v>6885.9170913500002</v>
      </c>
      <c r="U42" s="1">
        <v>7476.7154241999988</v>
      </c>
      <c r="V42" s="1">
        <v>7609.2179623899992</v>
      </c>
      <c r="W42" s="1">
        <v>7970.5782464000004</v>
      </c>
      <c r="X42" s="1">
        <v>8421.1283956799998</v>
      </c>
      <c r="Y42" s="1">
        <v>9131.7686882399994</v>
      </c>
      <c r="Z42" s="1">
        <v>9330.7034581200005</v>
      </c>
      <c r="AA42" s="1">
        <v>9590.5929973700004</v>
      </c>
      <c r="AB42" s="1">
        <v>9704.5878210600004</v>
      </c>
      <c r="AC42" s="1">
        <v>9713.6083008799978</v>
      </c>
      <c r="AD42" s="1">
        <v>9734.8559224399996</v>
      </c>
      <c r="AE42" s="1">
        <v>9929.7672758900007</v>
      </c>
      <c r="AF42" s="1">
        <v>10127.134533083334</v>
      </c>
      <c r="AG42" s="1">
        <v>10262.477931199999</v>
      </c>
      <c r="AH42" s="1">
        <v>10406.253215819997</v>
      </c>
      <c r="AI42" s="1">
        <v>10882.815658880001</v>
      </c>
      <c r="AJ42" s="1">
        <v>11123.209567946666</v>
      </c>
      <c r="AK42" s="1">
        <v>11673.597030186667</v>
      </c>
    </row>
  </sheetData>
  <sortState xmlns:xlrd2="http://schemas.microsoft.com/office/spreadsheetml/2017/richdata2" ref="AO23:AO56">
    <sortCondition ref="AO23:AO56"/>
  </sortState>
  <phoneticPr fontId="3" type="noConversion"/>
  <hyperlinks>
    <hyperlink ref="B7" r:id="rId1" xr:uid="{00000000-0004-0000-03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Data description</vt:lpstr>
      <vt:lpstr>Definition of sectors</vt:lpstr>
      <vt:lpstr>Definition of fuel type</vt:lpstr>
      <vt:lpstr>MEIC-China-CO2 total emissions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Ruochong Xu</dc:creator>
  <cp:lastModifiedBy>林钦 王</cp:lastModifiedBy>
  <dcterms:created xsi:type="dcterms:W3CDTF">2022-08-17T07:43:06Z</dcterms:created>
  <dcterms:modified xsi:type="dcterms:W3CDTF">2026-04-20T10:25:22Z</dcterms:modified>
</cp:coreProperties>
</file>
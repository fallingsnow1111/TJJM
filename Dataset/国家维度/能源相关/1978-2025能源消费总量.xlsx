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FDC76AF7-E2D9-4602-831D-C7B127FD831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D23" i="1"/>
  <c r="E23" i="1"/>
  <c r="F23" i="1"/>
  <c r="C23" i="1"/>
</calcChain>
</file>

<file path=xl/sharedStrings.xml><?xml version="1.0" encoding="utf-8"?>
<sst xmlns="http://schemas.openxmlformats.org/spreadsheetml/2006/main" count="737" uniqueCount="463">
  <si>
    <t>数据库：年度数据</t>
  </si>
  <si>
    <t>时间：1978年-2025年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</si>
  <si>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</si>
  <si>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</si>
  <si>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</si>
  <si>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</si>
  <si>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</si>
  <si>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</si>
  <si>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</si>
  <si>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</si>
  <si>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</si>
  <si>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</si>
  <si>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</si>
  <si>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</si>
  <si>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</si>
  <si>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</si>
  <si>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</si>
  <si>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</si>
  <si>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</si>
  <si>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</si>
  <si>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</si>
  <si>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</si>
  <si>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</si>
  <si>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</si>
  <si>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</si>
  <si>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</si>
  <si>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</si>
  <si>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</si>
  <si>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</si>
  <si>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</si>
  <si>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</si>
  <si>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</si>
  <si>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</si>
  <si>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</si>
  <si>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</si>
  <si>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</si>
  <si>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</si>
  <si>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</si>
  <si>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</si>
  <si>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</si>
  <si>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</si>
  <si>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</si>
  <si>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</si>
  <si>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</si>
  <si>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</si>
  <si>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</si>
  <si>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</si>
  <si>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</si>
  <si>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</si>
  <si>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</si>
  <si>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</si>
  <si>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 xml:space="preserve">能源消费总量 (万吨标准煤) </t>
  </si>
  <si>
    <t>617000</t>
  </si>
  <si>
    <t>571327</t>
  </si>
  <si>
    <t>541274</t>
  </si>
  <si>
    <t>525027</t>
  </si>
  <si>
    <t>496514</t>
  </si>
  <si>
    <t>485584</t>
  </si>
  <si>
    <t>471925</t>
  </si>
  <si>
    <t>455827</t>
  </si>
  <si>
    <t>441492</t>
  </si>
  <si>
    <t>434113</t>
  </si>
  <si>
    <t>428334</t>
  </si>
  <si>
    <t>416913</t>
  </si>
  <si>
    <t>402138</t>
  </si>
  <si>
    <t>387043</t>
  </si>
  <si>
    <t>360648</t>
  </si>
  <si>
    <t>336126</t>
  </si>
  <si>
    <t>320611</t>
  </si>
  <si>
    <t>311442</t>
  </si>
  <si>
    <t>286467</t>
  </si>
  <si>
    <t>261369</t>
  </si>
  <si>
    <t>230281</t>
  </si>
  <si>
    <t>197083</t>
  </si>
  <si>
    <t>169577</t>
  </si>
  <si>
    <t>155547</t>
  </si>
  <si>
    <t>146964</t>
  </si>
  <si>
    <t>140569</t>
  </si>
  <si>
    <t>136184</t>
  </si>
  <si>
    <t>135909</t>
  </si>
  <si>
    <t>135192</t>
  </si>
  <si>
    <t>131176</t>
  </si>
  <si>
    <t>122737</t>
  </si>
  <si>
    <t>115993</t>
  </si>
  <si>
    <t>109170</t>
  </si>
  <si>
    <t>103783</t>
  </si>
  <si>
    <t>98703</t>
  </si>
  <si>
    <t>96934</t>
  </si>
  <si>
    <t>92997</t>
  </si>
  <si>
    <t>86632</t>
  </si>
  <si>
    <t>80850</t>
  </si>
  <si>
    <t>76682</t>
  </si>
  <si>
    <t>70904</t>
  </si>
  <si>
    <t>66040</t>
  </si>
  <si>
    <t>62067</t>
  </si>
  <si>
    <t>59447</t>
  </si>
  <si>
    <t>60275</t>
  </si>
  <si>
    <t>58588</t>
  </si>
  <si>
    <t>57144</t>
  </si>
  <si>
    <t xml:space="preserve">煤炭占能源消费总量的比重 (%) </t>
  </si>
  <si>
    <t>51.4</t>
  </si>
  <si>
    <t>54.8</t>
  </si>
  <si>
    <t>55.6</t>
  </si>
  <si>
    <t>55.7</t>
  </si>
  <si>
    <t>56.7</t>
  </si>
  <si>
    <t>57.5</t>
  </si>
  <si>
    <t>59.0</t>
  </si>
  <si>
    <t>60.6</t>
  </si>
  <si>
    <t>62.2</t>
  </si>
  <si>
    <t>63.8</t>
  </si>
  <si>
    <t>65.8</t>
  </si>
  <si>
    <t>67.4</t>
  </si>
  <si>
    <t>68.5</t>
  </si>
  <si>
    <t>70.2</t>
  </si>
  <si>
    <t>69.2</t>
  </si>
  <si>
    <t>71.6</t>
  </si>
  <si>
    <t>71.5</t>
  </si>
  <si>
    <t>72.5</t>
  </si>
  <si>
    <t>72.4</t>
  </si>
  <si>
    <t>68.0</t>
  </si>
  <si>
    <t>70.6</t>
  </si>
  <si>
    <t>70.9</t>
  </si>
  <si>
    <t>71.4</t>
  </si>
  <si>
    <t>73.5</t>
  </si>
  <si>
    <t>74.6</t>
  </si>
  <si>
    <t>75.0</t>
  </si>
  <si>
    <t>74.7</t>
  </si>
  <si>
    <t>75.7</t>
  </si>
  <si>
    <t>76.1</t>
  </si>
  <si>
    <t>76.2</t>
  </si>
  <si>
    <t>75.8</t>
  </si>
  <si>
    <t>75.3</t>
  </si>
  <si>
    <t>74.2</t>
  </si>
  <si>
    <t>73.7</t>
  </si>
  <si>
    <t>72.7</t>
  </si>
  <si>
    <t>72.2</t>
  </si>
  <si>
    <t>71.3</t>
  </si>
  <si>
    <t>70.7</t>
  </si>
  <si>
    <t xml:space="preserve">石油占能源消费总量的比重 (%) </t>
  </si>
  <si>
    <t/>
  </si>
  <si>
    <t>18.2</t>
  </si>
  <si>
    <t>18.8</t>
  </si>
  <si>
    <t>18.4</t>
  </si>
  <si>
    <t>18.9</t>
  </si>
  <si>
    <t>19.0</t>
  </si>
  <si>
    <t>18.7</t>
  </si>
  <si>
    <t>17.3</t>
  </si>
  <si>
    <t>17.1</t>
  </si>
  <si>
    <t>17.0</t>
  </si>
  <si>
    <t>16.8</t>
  </si>
  <si>
    <t>17.4</t>
  </si>
  <si>
    <t>16.4</t>
  </si>
  <si>
    <t>16.7</t>
  </si>
  <si>
    <t>17.5</t>
  </si>
  <si>
    <t>17.8</t>
  </si>
  <si>
    <t>19.9</t>
  </si>
  <si>
    <t>20.1</t>
  </si>
  <si>
    <t>21.0</t>
  </si>
  <si>
    <t>21.2</t>
  </si>
  <si>
    <t>22.0</t>
  </si>
  <si>
    <t>21.5</t>
  </si>
  <si>
    <t>20.8</t>
  </si>
  <si>
    <t>20.4</t>
  </si>
  <si>
    <t>16.6</t>
  </si>
  <si>
    <t>17.2</t>
  </si>
  <si>
    <t>18.1</t>
  </si>
  <si>
    <t>20.0</t>
  </si>
  <si>
    <t>20.7</t>
  </si>
  <si>
    <t>21.8</t>
  </si>
  <si>
    <t>22.7</t>
  </si>
  <si>
    <t xml:space="preserve">天然气占能源消费总量的比重 (%) </t>
  </si>
  <si>
    <t>8.8</t>
  </si>
  <si>
    <t>8.5</t>
  </si>
  <si>
    <t>8.4</t>
  </si>
  <si>
    <t>8.0</t>
  </si>
  <si>
    <t>7.6</t>
  </si>
  <si>
    <t>6.9</t>
  </si>
  <si>
    <t>6.1</t>
  </si>
  <si>
    <t>5.8</t>
  </si>
  <si>
    <t>5.6</t>
  </si>
  <si>
    <t>5.3</t>
  </si>
  <si>
    <t>4.8</t>
  </si>
  <si>
    <t>4.6</t>
  </si>
  <si>
    <t>4.0</t>
  </si>
  <si>
    <t>3.5</t>
  </si>
  <si>
    <t>3.4</t>
  </si>
  <si>
    <t>3.0</t>
  </si>
  <si>
    <t>2.7</t>
  </si>
  <si>
    <t>2.4</t>
  </si>
  <si>
    <t>2.3</t>
  </si>
  <si>
    <t>2.2</t>
  </si>
  <si>
    <t>2.0</t>
  </si>
  <si>
    <t>1.8</t>
  </si>
  <si>
    <t>1.9</t>
  </si>
  <si>
    <t>2.1</t>
  </si>
  <si>
    <t>2.5</t>
  </si>
  <si>
    <t>2.8</t>
  </si>
  <si>
    <t>3.1</t>
  </si>
  <si>
    <t>3.3</t>
  </si>
  <si>
    <t>3.2</t>
  </si>
  <si>
    <t xml:space="preserve">一次电力及其他能源占能源总量的比重 (%) </t>
  </si>
  <si>
    <t>19.8</t>
  </si>
  <si>
    <t>17.9</t>
  </si>
  <si>
    <t>17.6</t>
  </si>
  <si>
    <t>16.0</t>
  </si>
  <si>
    <t>15.4</t>
  </si>
  <si>
    <t>14.5</t>
  </si>
  <si>
    <t>13.6</t>
  </si>
  <si>
    <t>13.0</t>
  </si>
  <si>
    <t>12.0</t>
  </si>
  <si>
    <t>11.3</t>
  </si>
  <si>
    <t>10.2</t>
  </si>
  <si>
    <t>9.7</t>
  </si>
  <si>
    <t>9.4</t>
  </si>
  <si>
    <t>7.5</t>
  </si>
  <si>
    <t>7.4</t>
  </si>
  <si>
    <t>8.2</t>
  </si>
  <si>
    <t>7.3</t>
  </si>
  <si>
    <t>5.9</t>
  </si>
  <si>
    <t>6.5</t>
  </si>
  <si>
    <t>6.4</t>
  </si>
  <si>
    <t>6.0</t>
  </si>
  <si>
    <t>5.7</t>
  </si>
  <si>
    <t>5.2</t>
  </si>
  <si>
    <t>4.9</t>
  </si>
  <si>
    <t>5.1</t>
  </si>
  <si>
    <t>4.7</t>
  </si>
  <si>
    <t>4.5</t>
  </si>
  <si>
    <t>3.6</t>
  </si>
  <si>
    <t xml:space="preserve">煤炭消费量 (万吨) </t>
  </si>
  <si>
    <t>470755.13</t>
  </si>
  <si>
    <t>448246.00</t>
  </si>
  <si>
    <t>429576.00</t>
  </si>
  <si>
    <t>404860.00</t>
  </si>
  <si>
    <t>401915.00</t>
  </si>
  <si>
    <t>397452.00</t>
  </si>
  <si>
    <t>391403.00</t>
  </si>
  <si>
    <t>388820.00</t>
  </si>
  <si>
    <t>399834.00</t>
  </si>
  <si>
    <t>413633.00</t>
  </si>
  <si>
    <t>424425.94</t>
  </si>
  <si>
    <t>411726.90</t>
  </si>
  <si>
    <t>388961.10</t>
  </si>
  <si>
    <t>349008.26</t>
  </si>
  <si>
    <t>325002.93</t>
  </si>
  <si>
    <t>300604.94</t>
  </si>
  <si>
    <t>290410.12</t>
  </si>
  <si>
    <t>270639.45</t>
  </si>
  <si>
    <t>243375.44</t>
  </si>
  <si>
    <t>212161.83</t>
  </si>
  <si>
    <t>183760.24</t>
  </si>
  <si>
    <t>153584.50</t>
  </si>
  <si>
    <t>143062.88</t>
  </si>
  <si>
    <t>135689.65</t>
  </si>
  <si>
    <t>126365.35</t>
  </si>
  <si>
    <t>129492.18</t>
  </si>
  <si>
    <t>139248.26</t>
  </si>
  <si>
    <t>144734.46</t>
  </si>
  <si>
    <t>137676.50</t>
  </si>
  <si>
    <t>128532.27</t>
  </si>
  <si>
    <t>110432.00</t>
  </si>
  <si>
    <t xml:space="preserve">焦炭消费量 (万吨) </t>
  </si>
  <si>
    <t>46949.01</t>
  </si>
  <si>
    <t>46395.00</t>
  </si>
  <si>
    <t>46664.00</t>
  </si>
  <si>
    <t>48310.00</t>
  </si>
  <si>
    <t>46426.00</t>
  </si>
  <si>
    <t>43717.00</t>
  </si>
  <si>
    <t>43743.00</t>
  </si>
  <si>
    <t>45462.00</t>
  </si>
  <si>
    <t>44059.00</t>
  </si>
  <si>
    <t>46885.00</t>
  </si>
  <si>
    <t>45851.87</t>
  </si>
  <si>
    <t>44805.23</t>
  </si>
  <si>
    <t>42063.28</t>
  </si>
  <si>
    <t>38702.79</t>
  </si>
  <si>
    <t>36349.97</t>
  </si>
  <si>
    <t>32120.24</t>
  </si>
  <si>
    <t>31168.12</t>
  </si>
  <si>
    <t>28297.76</t>
  </si>
  <si>
    <t>25105.84</t>
  </si>
  <si>
    <t>18067.01</t>
  </si>
  <si>
    <t>15926.47</t>
  </si>
  <si>
    <t>12803.12</t>
  </si>
  <si>
    <t>11931.46</t>
  </si>
  <si>
    <t>10840.76</t>
  </si>
  <si>
    <t xml:space="preserve">原油消费量 (万吨) </t>
  </si>
  <si>
    <t>75759.46</t>
  </si>
  <si>
    <t>70022.90</t>
  </si>
  <si>
    <t>72298.86</t>
  </si>
  <si>
    <t>69477.14</t>
  </si>
  <si>
    <t>67268.27</t>
  </si>
  <si>
    <t>63004.33</t>
  </si>
  <si>
    <t>59402.17</t>
  </si>
  <si>
    <t>57125.93</t>
  </si>
  <si>
    <t>54788.28</t>
  </si>
  <si>
    <t>51596.95</t>
  </si>
  <si>
    <t>48652.15</t>
  </si>
  <si>
    <t>46678.92</t>
  </si>
  <si>
    <t>43965.84</t>
  </si>
  <si>
    <t>42874.55</t>
  </si>
  <si>
    <t>38128.59</t>
  </si>
  <si>
    <t>35510.34</t>
  </si>
  <si>
    <t>34031.60</t>
  </si>
  <si>
    <t>32245.20</t>
  </si>
  <si>
    <t>30088.94</t>
  </si>
  <si>
    <t>29009.31</t>
  </si>
  <si>
    <t>25180.72</t>
  </si>
  <si>
    <t>22694.05</t>
  </si>
  <si>
    <t>21410.74</t>
  </si>
  <si>
    <t>21232.01</t>
  </si>
  <si>
    <t xml:space="preserve">汽油消费量 (万吨) </t>
  </si>
  <si>
    <t>14312.93</t>
  </si>
  <si>
    <t>13277.27</t>
  </si>
  <si>
    <t>14242.43</t>
  </si>
  <si>
    <t>12767.16</t>
  </si>
  <si>
    <t>13627.97</t>
  </si>
  <si>
    <t>13055.30</t>
  </si>
  <si>
    <t>12296.27</t>
  </si>
  <si>
    <t>11866.04</t>
  </si>
  <si>
    <t>11368.46</t>
  </si>
  <si>
    <t>9776.37</t>
  </si>
  <si>
    <t>9366.35</t>
  </si>
  <si>
    <t>8165.90</t>
  </si>
  <si>
    <t>7595.95</t>
  </si>
  <si>
    <t>6956.20</t>
  </si>
  <si>
    <t>6172.69</t>
  </si>
  <si>
    <t>6145.52</t>
  </si>
  <si>
    <t>5519.09</t>
  </si>
  <si>
    <t>5242.55</t>
  </si>
  <si>
    <t>4854.91</t>
  </si>
  <si>
    <t>4695.72</t>
  </si>
  <si>
    <t>4118.52</t>
  </si>
  <si>
    <t>3804.32</t>
  </si>
  <si>
    <t>3597.57</t>
  </si>
  <si>
    <t>3504.56</t>
  </si>
  <si>
    <t xml:space="preserve">煤油消费量 (万吨) </t>
  </si>
  <si>
    <t>3698.33</t>
  </si>
  <si>
    <t>2073.66</t>
  </si>
  <si>
    <t>3489.89</t>
  </si>
  <si>
    <t>3352.10</t>
  </si>
  <si>
    <t>3950.23</t>
  </si>
  <si>
    <t>3653.51</t>
  </si>
  <si>
    <t>3326.36</t>
  </si>
  <si>
    <t>2970.71</t>
  </si>
  <si>
    <t>2663.71</t>
  </si>
  <si>
    <t>2335.42</t>
  </si>
  <si>
    <t>2164.07</t>
  </si>
  <si>
    <t>1956.60</t>
  </si>
  <si>
    <t>1816.72</t>
  </si>
  <si>
    <t>1765.17</t>
  </si>
  <si>
    <t>1450.49</t>
  </si>
  <si>
    <t>1294.01</t>
  </si>
  <si>
    <t>1243.72</t>
  </si>
  <si>
    <t>1124.74</t>
  </si>
  <si>
    <t>1076.84</t>
  </si>
  <si>
    <t>1060.86</t>
  </si>
  <si>
    <t>921.61</t>
  </si>
  <si>
    <t>919.20</t>
  </si>
  <si>
    <t>890.27</t>
  </si>
  <si>
    <t>871.61</t>
  </si>
  <si>
    <t xml:space="preserve">柴油消费量 (万吨) </t>
  </si>
  <si>
    <t>18764.54</t>
  </si>
  <si>
    <t>15781.89</t>
  </si>
  <si>
    <t>15197.04</t>
  </si>
  <si>
    <t>14282.70</t>
  </si>
  <si>
    <t>14917.95</t>
  </si>
  <si>
    <t>16409.56</t>
  </si>
  <si>
    <t>16916.54</t>
  </si>
  <si>
    <t>16839.04</t>
  </si>
  <si>
    <t>17360.31</t>
  </si>
  <si>
    <t>17165.29</t>
  </si>
  <si>
    <t>17150.65</t>
  </si>
  <si>
    <t>16966.04</t>
  </si>
  <si>
    <t>15635.10</t>
  </si>
  <si>
    <t>14699.00</t>
  </si>
  <si>
    <t>13551.43</t>
  </si>
  <si>
    <t>13544.94</t>
  </si>
  <si>
    <t>12492.38</t>
  </si>
  <si>
    <t>11729.09</t>
  </si>
  <si>
    <t>10974.94</t>
  </si>
  <si>
    <t>10206.92</t>
  </si>
  <si>
    <t>8575.12</t>
  </si>
  <si>
    <t>7789.94</t>
  </si>
  <si>
    <t>7157.97</t>
  </si>
  <si>
    <t>6806.23</t>
  </si>
  <si>
    <t xml:space="preserve">燃料油消费量 (万吨) </t>
  </si>
  <si>
    <t>7464.69</t>
  </si>
  <si>
    <t>5470.77</t>
  </si>
  <si>
    <t>5489.28</t>
  </si>
  <si>
    <t>5364.60</t>
  </si>
  <si>
    <t>4690.34</t>
  </si>
  <si>
    <t>4536.07</t>
  </si>
  <si>
    <t>4887.30</t>
  </si>
  <si>
    <t>4631.04</t>
  </si>
  <si>
    <t>4662.01</t>
  </si>
  <si>
    <t>4355.47</t>
  </si>
  <si>
    <t>3953.97</t>
  </si>
  <si>
    <t>3683.28</t>
  </si>
  <si>
    <t>3662.80</t>
  </si>
  <si>
    <t>3758.02</t>
  </si>
  <si>
    <t>2828.80</t>
  </si>
  <si>
    <t>3236.75</t>
  </si>
  <si>
    <t>4157.49</t>
  </si>
  <si>
    <t>4471.15</t>
  </si>
  <si>
    <t>4244.16</t>
  </si>
  <si>
    <t>4844.76</t>
  </si>
  <si>
    <t>4330.34</t>
  </si>
  <si>
    <t>3723.87</t>
  </si>
  <si>
    <t>3850.22</t>
  </si>
  <si>
    <t>3872.75</t>
  </si>
  <si>
    <t xml:space="preserve">天然气消费量 (亿立方米) </t>
  </si>
  <si>
    <t>4006.39</t>
  </si>
  <si>
    <t>3746.95</t>
  </si>
  <si>
    <t>3772.96</t>
  </si>
  <si>
    <t>3339.89</t>
  </si>
  <si>
    <t>3059.68</t>
  </si>
  <si>
    <t>2817.09</t>
  </si>
  <si>
    <t>2393.69</t>
  </si>
  <si>
    <t>2078.06</t>
  </si>
  <si>
    <t>1931.75</t>
  </si>
  <si>
    <t>1870.63</t>
  </si>
  <si>
    <t>1705.37</t>
  </si>
  <si>
    <t>1497.00</t>
  </si>
  <si>
    <t>1341.07</t>
  </si>
  <si>
    <t>1080.24</t>
  </si>
  <si>
    <t>895.20</t>
  </si>
  <si>
    <t>812.94</t>
  </si>
  <si>
    <t>705.23</t>
  </si>
  <si>
    <t>573.32</t>
  </si>
  <si>
    <t>466.08</t>
  </si>
  <si>
    <t>396.72</t>
  </si>
  <si>
    <t>339.08</t>
  </si>
  <si>
    <t>291.84</t>
  </si>
  <si>
    <t>274.30</t>
  </si>
  <si>
    <t>245.03</t>
  </si>
  <si>
    <t xml:space="preserve">电力消费量 (亿千瓦小时) </t>
  </si>
  <si>
    <t>94393.20</t>
  </si>
  <si>
    <t>88357.62</t>
  </si>
  <si>
    <t>85200.10</t>
  </si>
  <si>
    <t>77620.17</t>
  </si>
  <si>
    <t>74866.12</t>
  </si>
  <si>
    <t>71508.20</t>
  </si>
  <si>
    <t>65913.97</t>
  </si>
  <si>
    <t>61205.09</t>
  </si>
  <si>
    <t>58019.98</t>
  </si>
  <si>
    <t>57829.69</t>
  </si>
  <si>
    <t>54203.41</t>
  </si>
  <si>
    <t>49762.64</t>
  </si>
  <si>
    <t>47000.88</t>
  </si>
  <si>
    <t>41934.49</t>
  </si>
  <si>
    <t>37032.14</t>
  </si>
  <si>
    <t>34541.35</t>
  </si>
  <si>
    <t>32711.81</t>
  </si>
  <si>
    <t>28587.97</t>
  </si>
  <si>
    <t>24940.32</t>
  </si>
  <si>
    <t>21971.37</t>
  </si>
  <si>
    <t>19031.60</t>
  </si>
  <si>
    <t>16465.45</t>
  </si>
  <si>
    <t>14723.46</t>
  </si>
  <si>
    <t>13472.38</t>
  </si>
  <si>
    <t>数据来源：国家统计局</t>
  </si>
  <si>
    <t>计算碳排放量（百万吨）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</si>
</sst>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3"/>
  <sheetViews>
    <sheetView tabSelected="1" topLeftCell="A4" workbookViewId="0">
      <pane xSplit="1" topLeftCell="B1" activePane="topRight" state="frozen"/>
      <selection pane="topRight" activeCell="D22" sqref="D22"/>
    </sheetView>
  </sheetViews>
  <sheetFormatPr defaultRowHeight="14.4" x14ac:dyDescent="0.25"/>
  <cols>
    <col min="1" max="1" width="45.44140625" customWidth="1"/>
    <col min="2" max="49" width="15.88671875" customWidth="1"/>
  </cols>
  <sheetData>
    <row r="1" spans="1:49" ht="20.55" customHeight="1" x14ac:dyDescent="0.25">
      <c r="A1" s="1" t="s">
        <v>0</v>
      </c>
    </row>
    <row r="2" spans="1:49" ht="20.55" customHeight="1" x14ac:dyDescent="0.25">
      <c r="A2" s="1" t="s">
        <v>1</v>
      </c>
    </row>
    <row r="3" spans="1:49" ht="20.5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</row>
    <row r="4" spans="1:49" ht="20.55" customHeight="1" x14ac:dyDescent="0.25">
      <c r="A4" s="3" t="s">
        <v>51</v>
      </c>
      <c r="B4" s="4" t="s">
        <v>52</v>
      </c>
      <c r="C4" s="4">
        <v>596000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63</v>
      </c>
      <c r="O4" s="4" t="s">
        <v>64</v>
      </c>
      <c r="P4" s="4" t="s">
        <v>65</v>
      </c>
      <c r="Q4" s="4" t="s">
        <v>66</v>
      </c>
      <c r="R4" s="4" t="s">
        <v>67</v>
      </c>
      <c r="S4" s="4" t="s">
        <v>68</v>
      </c>
      <c r="T4" s="4" t="s">
        <v>69</v>
      </c>
      <c r="U4" s="4" t="s">
        <v>70</v>
      </c>
      <c r="V4" s="4" t="s">
        <v>71</v>
      </c>
      <c r="W4" s="4" t="s">
        <v>72</v>
      </c>
      <c r="X4" s="4" t="s">
        <v>73</v>
      </c>
      <c r="Y4" s="4" t="s">
        <v>74</v>
      </c>
      <c r="Z4" s="4" t="s">
        <v>75</v>
      </c>
      <c r="AA4" s="4" t="s">
        <v>76</v>
      </c>
      <c r="AB4" s="4" t="s">
        <v>77</v>
      </c>
      <c r="AC4" s="4" t="s">
        <v>78</v>
      </c>
      <c r="AD4" s="4" t="s">
        <v>79</v>
      </c>
      <c r="AE4" s="4" t="s">
        <v>80</v>
      </c>
      <c r="AF4" s="4" t="s">
        <v>81</v>
      </c>
      <c r="AG4" s="4" t="s">
        <v>82</v>
      </c>
      <c r="AH4" s="4" t="s">
        <v>83</v>
      </c>
      <c r="AI4" s="4" t="s">
        <v>84</v>
      </c>
      <c r="AJ4" s="4" t="s">
        <v>85</v>
      </c>
      <c r="AK4" s="4" t="s">
        <v>86</v>
      </c>
      <c r="AL4" s="4" t="s">
        <v>87</v>
      </c>
      <c r="AM4" s="4" t="s">
        <v>88</v>
      </c>
      <c r="AN4" s="4" t="s">
        <v>89</v>
      </c>
      <c r="AO4" s="4" t="s">
        <v>90</v>
      </c>
      <c r="AP4" s="4" t="s">
        <v>91</v>
      </c>
      <c r="AQ4" s="4" t="s">
        <v>92</v>
      </c>
      <c r="AR4" s="4" t="s">
        <v>93</v>
      </c>
      <c r="AS4" s="4" t="s">
        <v>94</v>
      </c>
      <c r="AT4" s="4" t="s">
        <v>95</v>
      </c>
      <c r="AU4" s="4" t="s">
        <v>96</v>
      </c>
      <c r="AV4" s="4" t="s">
        <v>97</v>
      </c>
      <c r="AW4" s="4" t="s">
        <v>98</v>
      </c>
    </row>
    <row r="5" spans="1:49" ht="20.55" customHeight="1" x14ac:dyDescent="0.25">
      <c r="A5" s="3" t="s">
        <v>99</v>
      </c>
      <c r="B5" s="4" t="s">
        <v>100</v>
      </c>
      <c r="C5" s="4">
        <v>53.2</v>
      </c>
      <c r="D5" s="4" t="s">
        <v>101</v>
      </c>
      <c r="E5" s="4" t="s">
        <v>102</v>
      </c>
      <c r="F5" s="4" t="s">
        <v>103</v>
      </c>
      <c r="G5" s="4" t="s">
        <v>104</v>
      </c>
      <c r="H5" s="4" t="s">
        <v>105</v>
      </c>
      <c r="I5" s="4" t="s">
        <v>106</v>
      </c>
      <c r="J5" s="4" t="s">
        <v>107</v>
      </c>
      <c r="K5" s="4" t="s">
        <v>108</v>
      </c>
      <c r="L5" s="4" t="s">
        <v>109</v>
      </c>
      <c r="M5" s="4" t="s">
        <v>110</v>
      </c>
      <c r="N5" s="4" t="s">
        <v>111</v>
      </c>
      <c r="O5" s="4" t="s">
        <v>112</v>
      </c>
      <c r="P5" s="4" t="s">
        <v>113</v>
      </c>
      <c r="Q5" s="4" t="s">
        <v>114</v>
      </c>
      <c r="R5" s="4" t="s">
        <v>115</v>
      </c>
      <c r="S5" s="4" t="s">
        <v>116</v>
      </c>
      <c r="T5" s="4" t="s">
        <v>117</v>
      </c>
      <c r="U5" s="4" t="s">
        <v>118</v>
      </c>
      <c r="V5" s="4" t="s">
        <v>118</v>
      </c>
      <c r="W5" s="4" t="s">
        <v>113</v>
      </c>
      <c r="X5" s="4" t="s">
        <v>113</v>
      </c>
      <c r="Y5" s="4" t="s">
        <v>112</v>
      </c>
      <c r="Z5" s="4" t="s">
        <v>119</v>
      </c>
      <c r="AA5" s="4" t="s">
        <v>112</v>
      </c>
      <c r="AB5" s="4" t="s">
        <v>120</v>
      </c>
      <c r="AC5" s="4" t="s">
        <v>121</v>
      </c>
      <c r="AD5" s="4" t="s">
        <v>122</v>
      </c>
      <c r="AE5" s="4" t="s">
        <v>123</v>
      </c>
      <c r="AF5" s="4" t="s">
        <v>124</v>
      </c>
      <c r="AG5" s="4" t="s">
        <v>125</v>
      </c>
      <c r="AH5" s="4" t="s">
        <v>126</v>
      </c>
      <c r="AI5" s="4" t="s">
        <v>127</v>
      </c>
      <c r="AJ5" s="4" t="s">
        <v>128</v>
      </c>
      <c r="AK5" s="4" t="s">
        <v>129</v>
      </c>
      <c r="AL5" s="4" t="s">
        <v>128</v>
      </c>
      <c r="AM5" s="4" t="s">
        <v>128</v>
      </c>
      <c r="AN5" s="4" t="s">
        <v>129</v>
      </c>
      <c r="AO5" s="4" t="s">
        <v>130</v>
      </c>
      <c r="AP5" s="4" t="s">
        <v>130</v>
      </c>
      <c r="AQ5" s="4" t="s">
        <v>131</v>
      </c>
      <c r="AR5" s="4" t="s">
        <v>132</v>
      </c>
      <c r="AS5" s="4" t="s">
        <v>133</v>
      </c>
      <c r="AT5" s="4" t="s">
        <v>134</v>
      </c>
      <c r="AU5" s="4" t="s">
        <v>135</v>
      </c>
      <c r="AV5" s="4" t="s">
        <v>136</v>
      </c>
      <c r="AW5" s="4" t="s">
        <v>137</v>
      </c>
    </row>
    <row r="6" spans="1:49" ht="20.55" customHeight="1" x14ac:dyDescent="0.25">
      <c r="A6" s="3" t="s">
        <v>138</v>
      </c>
      <c r="B6" s="4" t="s">
        <v>139</v>
      </c>
      <c r="C6" s="4" t="s">
        <v>140</v>
      </c>
      <c r="D6" s="4" t="s">
        <v>141</v>
      </c>
      <c r="E6" s="4" t="s">
        <v>142</v>
      </c>
      <c r="F6" s="4" t="s">
        <v>141</v>
      </c>
      <c r="G6" s="4" t="s">
        <v>143</v>
      </c>
      <c r="H6" s="4" t="s">
        <v>144</v>
      </c>
      <c r="I6" s="4" t="s">
        <v>143</v>
      </c>
      <c r="J6" s="4" t="s">
        <v>143</v>
      </c>
      <c r="K6" s="4" t="s">
        <v>145</v>
      </c>
      <c r="L6" s="4" t="s">
        <v>142</v>
      </c>
      <c r="M6" s="4" t="s">
        <v>146</v>
      </c>
      <c r="N6" s="4" t="s">
        <v>147</v>
      </c>
      <c r="O6" s="4" t="s">
        <v>148</v>
      </c>
      <c r="P6" s="4" t="s">
        <v>149</v>
      </c>
      <c r="Q6" s="4" t="s">
        <v>150</v>
      </c>
      <c r="R6" s="4" t="s">
        <v>151</v>
      </c>
      <c r="S6" s="4" t="s">
        <v>152</v>
      </c>
      <c r="T6" s="4" t="s">
        <v>148</v>
      </c>
      <c r="U6" s="4" t="s">
        <v>153</v>
      </c>
      <c r="V6" s="4" t="s">
        <v>154</v>
      </c>
      <c r="W6" s="4" t="s">
        <v>155</v>
      </c>
      <c r="X6" s="4" t="s">
        <v>156</v>
      </c>
      <c r="Y6" s="4" t="s">
        <v>157</v>
      </c>
      <c r="Z6" s="4" t="s">
        <v>158</v>
      </c>
      <c r="AA6" s="4" t="s">
        <v>159</v>
      </c>
      <c r="AB6" s="4" t="s">
        <v>160</v>
      </c>
      <c r="AC6" s="4" t="s">
        <v>161</v>
      </c>
      <c r="AD6" s="4" t="s">
        <v>162</v>
      </c>
      <c r="AE6" s="4" t="s">
        <v>145</v>
      </c>
      <c r="AF6" s="4" t="s">
        <v>153</v>
      </c>
      <c r="AG6" s="4" t="s">
        <v>150</v>
      </c>
      <c r="AH6" s="4" t="s">
        <v>140</v>
      </c>
      <c r="AI6" s="4" t="s">
        <v>153</v>
      </c>
      <c r="AJ6" s="4" t="s">
        <v>147</v>
      </c>
      <c r="AK6" s="4" t="s">
        <v>163</v>
      </c>
      <c r="AL6" s="4" t="s">
        <v>147</v>
      </c>
      <c r="AM6" s="4" t="s">
        <v>147</v>
      </c>
      <c r="AN6" s="4" t="s">
        <v>148</v>
      </c>
      <c r="AO6" s="4" t="s">
        <v>164</v>
      </c>
      <c r="AP6" s="4" t="s">
        <v>147</v>
      </c>
      <c r="AQ6" s="4" t="s">
        <v>150</v>
      </c>
      <c r="AR6" s="4" t="s">
        <v>165</v>
      </c>
      <c r="AS6" s="4" t="s">
        <v>143</v>
      </c>
      <c r="AT6" s="4" t="s">
        <v>166</v>
      </c>
      <c r="AU6" s="4" t="s">
        <v>167</v>
      </c>
      <c r="AV6" s="4" t="s">
        <v>168</v>
      </c>
      <c r="AW6" s="4" t="s">
        <v>169</v>
      </c>
    </row>
    <row r="7" spans="1:49" ht="20.55" customHeight="1" x14ac:dyDescent="0.25">
      <c r="A7" s="3" t="s">
        <v>170</v>
      </c>
      <c r="B7" s="4" t="s">
        <v>139</v>
      </c>
      <c r="C7" s="4" t="s">
        <v>171</v>
      </c>
      <c r="D7" s="4" t="s">
        <v>172</v>
      </c>
      <c r="E7" s="4" t="s">
        <v>173</v>
      </c>
      <c r="F7" s="4" t="s">
        <v>171</v>
      </c>
      <c r="G7" s="4" t="s">
        <v>173</v>
      </c>
      <c r="H7" s="4" t="s">
        <v>174</v>
      </c>
      <c r="I7" s="4" t="s">
        <v>175</v>
      </c>
      <c r="J7" s="4" t="s">
        <v>176</v>
      </c>
      <c r="K7" s="4" t="s">
        <v>177</v>
      </c>
      <c r="L7" s="4" t="s">
        <v>178</v>
      </c>
      <c r="M7" s="4" t="s">
        <v>179</v>
      </c>
      <c r="N7" s="4" t="s">
        <v>180</v>
      </c>
      <c r="O7" s="4" t="s">
        <v>181</v>
      </c>
      <c r="P7" s="4" t="s">
        <v>182</v>
      </c>
      <c r="Q7" s="4" t="s">
        <v>183</v>
      </c>
      <c r="R7" s="4" t="s">
        <v>184</v>
      </c>
      <c r="S7" s="4" t="s">
        <v>185</v>
      </c>
      <c r="T7" s="4" t="s">
        <v>186</v>
      </c>
      <c r="U7" s="4" t="s">
        <v>187</v>
      </c>
      <c r="V7" s="4" t="s">
        <v>188</v>
      </c>
      <c r="W7" s="4" t="s">
        <v>189</v>
      </c>
      <c r="X7" s="4" t="s">
        <v>189</v>
      </c>
      <c r="Y7" s="4" t="s">
        <v>189</v>
      </c>
      <c r="Z7" s="4" t="s">
        <v>188</v>
      </c>
      <c r="AA7" s="4" t="s">
        <v>190</v>
      </c>
      <c r="AB7" s="4" t="s">
        <v>191</v>
      </c>
      <c r="AC7" s="4" t="s">
        <v>192</v>
      </c>
      <c r="AD7" s="4" t="s">
        <v>192</v>
      </c>
      <c r="AE7" s="4" t="s">
        <v>192</v>
      </c>
      <c r="AF7" s="4" t="s">
        <v>192</v>
      </c>
      <c r="AG7" s="4" t="s">
        <v>193</v>
      </c>
      <c r="AH7" s="4" t="s">
        <v>193</v>
      </c>
      <c r="AI7" s="4" t="s">
        <v>193</v>
      </c>
      <c r="AJ7" s="4" t="s">
        <v>191</v>
      </c>
      <c r="AK7" s="4" t="s">
        <v>194</v>
      </c>
      <c r="AL7" s="4" t="s">
        <v>194</v>
      </c>
      <c r="AM7" s="4" t="s">
        <v>194</v>
      </c>
      <c r="AN7" s="4" t="s">
        <v>194</v>
      </c>
      <c r="AO7" s="4" t="s">
        <v>189</v>
      </c>
      <c r="AP7" s="4" t="s">
        <v>190</v>
      </c>
      <c r="AQ7" s="4" t="s">
        <v>188</v>
      </c>
      <c r="AR7" s="4" t="s">
        <v>188</v>
      </c>
      <c r="AS7" s="4" t="s">
        <v>195</v>
      </c>
      <c r="AT7" s="4" t="s">
        <v>196</v>
      </c>
      <c r="AU7" s="4" t="s">
        <v>197</v>
      </c>
      <c r="AV7" s="4" t="s">
        <v>198</v>
      </c>
      <c r="AW7" s="4" t="s">
        <v>199</v>
      </c>
    </row>
    <row r="8" spans="1:49" ht="20.55" customHeight="1" x14ac:dyDescent="0.25">
      <c r="A8" s="3" t="s">
        <v>200</v>
      </c>
      <c r="B8" s="4" t="s">
        <v>139</v>
      </c>
      <c r="C8" s="4" t="s">
        <v>201</v>
      </c>
      <c r="D8" s="4" t="s">
        <v>202</v>
      </c>
      <c r="E8" s="4" t="s">
        <v>203</v>
      </c>
      <c r="F8" s="4" t="s">
        <v>152</v>
      </c>
      <c r="G8" s="4" t="s">
        <v>204</v>
      </c>
      <c r="H8" s="4" t="s">
        <v>205</v>
      </c>
      <c r="I8" s="4" t="s">
        <v>206</v>
      </c>
      <c r="J8" s="4" t="s">
        <v>207</v>
      </c>
      <c r="K8" s="4" t="s">
        <v>208</v>
      </c>
      <c r="L8" s="4" t="s">
        <v>209</v>
      </c>
      <c r="M8" s="4" t="s">
        <v>210</v>
      </c>
      <c r="N8" s="4" t="s">
        <v>211</v>
      </c>
      <c r="O8" s="4" t="s">
        <v>212</v>
      </c>
      <c r="P8" s="4" t="s">
        <v>173</v>
      </c>
      <c r="Q8" s="4" t="s">
        <v>213</v>
      </c>
      <c r="R8" s="4" t="s">
        <v>172</v>
      </c>
      <c r="S8" s="4" t="s">
        <v>173</v>
      </c>
      <c r="T8" s="4" t="s">
        <v>214</v>
      </c>
      <c r="U8" s="4" t="s">
        <v>215</v>
      </c>
      <c r="V8" s="4" t="s">
        <v>215</v>
      </c>
      <c r="W8" s="4" t="s">
        <v>175</v>
      </c>
      <c r="X8" s="4" t="s">
        <v>215</v>
      </c>
      <c r="Y8" s="4" t="s">
        <v>216</v>
      </c>
      <c r="Z8" s="4" t="s">
        <v>173</v>
      </c>
      <c r="AA8" s="4" t="s">
        <v>217</v>
      </c>
      <c r="AB8" s="4" t="s">
        <v>218</v>
      </c>
      <c r="AC8" s="4" t="s">
        <v>219</v>
      </c>
      <c r="AD8" s="4" t="s">
        <v>220</v>
      </c>
      <c r="AE8" s="4" t="s">
        <v>221</v>
      </c>
      <c r="AF8" s="4" t="s">
        <v>177</v>
      </c>
      <c r="AG8" s="4" t="s">
        <v>222</v>
      </c>
      <c r="AH8" s="4" t="s">
        <v>223</v>
      </c>
      <c r="AI8" s="4" t="s">
        <v>224</v>
      </c>
      <c r="AJ8" s="4" t="s">
        <v>181</v>
      </c>
      <c r="AK8" s="4" t="s">
        <v>225</v>
      </c>
      <c r="AL8" s="4" t="s">
        <v>226</v>
      </c>
      <c r="AM8" s="4" t="s">
        <v>226</v>
      </c>
      <c r="AN8" s="4" t="s">
        <v>226</v>
      </c>
      <c r="AO8" s="4" t="s">
        <v>226</v>
      </c>
      <c r="AP8" s="4" t="s">
        <v>224</v>
      </c>
      <c r="AQ8" s="4" t="s">
        <v>224</v>
      </c>
      <c r="AR8" s="4" t="s">
        <v>180</v>
      </c>
      <c r="AS8" s="4" t="s">
        <v>224</v>
      </c>
      <c r="AT8" s="4" t="s">
        <v>227</v>
      </c>
      <c r="AU8" s="4" t="s">
        <v>183</v>
      </c>
      <c r="AV8" s="4" t="s">
        <v>228</v>
      </c>
      <c r="AW8" s="4" t="s">
        <v>185</v>
      </c>
    </row>
    <row r="9" spans="1:49" ht="20.55" customHeight="1" x14ac:dyDescent="0.25">
      <c r="A9" s="3" t="s">
        <v>229</v>
      </c>
      <c r="B9" s="4" t="s">
        <v>139</v>
      </c>
      <c r="C9" s="4" t="s">
        <v>139</v>
      </c>
      <c r="D9" s="4" t="s">
        <v>230</v>
      </c>
      <c r="E9" s="4" t="s">
        <v>231</v>
      </c>
      <c r="F9" s="4" t="s">
        <v>232</v>
      </c>
      <c r="G9" s="4" t="s">
        <v>233</v>
      </c>
      <c r="H9" s="4" t="s">
        <v>234</v>
      </c>
      <c r="I9" s="4" t="s">
        <v>235</v>
      </c>
      <c r="J9" s="4" t="s">
        <v>236</v>
      </c>
      <c r="K9" s="4" t="s">
        <v>237</v>
      </c>
      <c r="L9" s="4" t="s">
        <v>238</v>
      </c>
      <c r="M9" s="4" t="s">
        <v>239</v>
      </c>
      <c r="N9" s="4" t="s">
        <v>240</v>
      </c>
      <c r="O9" s="4" t="s">
        <v>241</v>
      </c>
      <c r="P9" s="4" t="s">
        <v>242</v>
      </c>
      <c r="Q9" s="4" t="s">
        <v>243</v>
      </c>
      <c r="R9" s="4" t="s">
        <v>244</v>
      </c>
      <c r="S9" s="4" t="s">
        <v>245</v>
      </c>
      <c r="T9" s="4" t="s">
        <v>246</v>
      </c>
      <c r="U9" s="4" t="s">
        <v>247</v>
      </c>
      <c r="V9" s="4" t="s">
        <v>248</v>
      </c>
      <c r="W9" s="4" t="s">
        <v>249</v>
      </c>
      <c r="X9" s="4" t="s">
        <v>250</v>
      </c>
      <c r="Y9" s="4" t="s">
        <v>251</v>
      </c>
      <c r="Z9" s="4" t="s">
        <v>252</v>
      </c>
      <c r="AA9" s="4" t="s">
        <v>253</v>
      </c>
      <c r="AB9" s="4" t="s">
        <v>254</v>
      </c>
      <c r="AC9" s="4" t="s">
        <v>255</v>
      </c>
      <c r="AD9" s="4" t="s">
        <v>256</v>
      </c>
      <c r="AE9" s="4" t="s">
        <v>257</v>
      </c>
      <c r="AF9" s="4" t="s">
        <v>258</v>
      </c>
      <c r="AG9" s="4" t="s">
        <v>259</v>
      </c>
      <c r="AH9" s="4" t="s">
        <v>139</v>
      </c>
      <c r="AI9" s="4" t="s">
        <v>139</v>
      </c>
      <c r="AJ9" s="4" t="s">
        <v>260</v>
      </c>
      <c r="AK9" s="4" t="s">
        <v>139</v>
      </c>
      <c r="AL9" s="4" t="s">
        <v>139</v>
      </c>
      <c r="AM9" s="4" t="s">
        <v>139</v>
      </c>
      <c r="AN9" s="4" t="s">
        <v>139</v>
      </c>
      <c r="AO9" s="4" t="s">
        <v>139</v>
      </c>
      <c r="AP9" s="4" t="s">
        <v>139</v>
      </c>
      <c r="AQ9" s="4" t="s">
        <v>139</v>
      </c>
      <c r="AR9" s="4" t="s">
        <v>139</v>
      </c>
      <c r="AS9" s="4" t="s">
        <v>139</v>
      </c>
      <c r="AT9" s="4" t="s">
        <v>139</v>
      </c>
      <c r="AU9" s="4" t="s">
        <v>139</v>
      </c>
      <c r="AV9" s="4" t="s">
        <v>139</v>
      </c>
      <c r="AW9" s="4" t="s">
        <v>139</v>
      </c>
    </row>
    <row r="10" spans="1:49" ht="20.55" customHeight="1" x14ac:dyDescent="0.25">
      <c r="A10" s="3" t="s">
        <v>261</v>
      </c>
      <c r="B10" s="4" t="s">
        <v>139</v>
      </c>
      <c r="C10" s="4" t="s">
        <v>139</v>
      </c>
      <c r="D10" s="4" t="s">
        <v>262</v>
      </c>
      <c r="E10" s="4" t="s">
        <v>263</v>
      </c>
      <c r="F10" s="4" t="s">
        <v>264</v>
      </c>
      <c r="G10" s="4" t="s">
        <v>265</v>
      </c>
      <c r="H10" s="4" t="s">
        <v>266</v>
      </c>
      <c r="I10" s="4" t="s">
        <v>267</v>
      </c>
      <c r="J10" s="4" t="s">
        <v>268</v>
      </c>
      <c r="K10" s="4" t="s">
        <v>269</v>
      </c>
      <c r="L10" s="4" t="s">
        <v>270</v>
      </c>
      <c r="M10" s="4" t="s">
        <v>271</v>
      </c>
      <c r="N10" s="4" t="s">
        <v>272</v>
      </c>
      <c r="O10" s="4" t="s">
        <v>273</v>
      </c>
      <c r="P10" s="4" t="s">
        <v>274</v>
      </c>
      <c r="Q10" s="4" t="s">
        <v>275</v>
      </c>
      <c r="R10" s="4" t="s">
        <v>276</v>
      </c>
      <c r="S10" s="4" t="s">
        <v>277</v>
      </c>
      <c r="T10" s="4" t="s">
        <v>278</v>
      </c>
      <c r="U10" s="4" t="s">
        <v>279</v>
      </c>
      <c r="V10" s="4" t="s">
        <v>280</v>
      </c>
      <c r="W10" s="4" t="s">
        <v>281</v>
      </c>
      <c r="X10" s="4" t="s">
        <v>282</v>
      </c>
      <c r="Y10" s="4" t="s">
        <v>283</v>
      </c>
      <c r="Z10" s="4" t="s">
        <v>284</v>
      </c>
      <c r="AA10" s="4" t="s">
        <v>285</v>
      </c>
      <c r="AB10" s="4" t="s">
        <v>139</v>
      </c>
      <c r="AC10" s="4" t="s">
        <v>139</v>
      </c>
      <c r="AD10" s="4" t="s">
        <v>139</v>
      </c>
      <c r="AE10" s="4" t="s">
        <v>139</v>
      </c>
      <c r="AF10" s="4" t="s">
        <v>139</v>
      </c>
      <c r="AG10" s="4" t="s">
        <v>139</v>
      </c>
      <c r="AH10" s="4" t="s">
        <v>139</v>
      </c>
      <c r="AI10" s="4" t="s">
        <v>139</v>
      </c>
      <c r="AJ10" s="4" t="s">
        <v>139</v>
      </c>
      <c r="AK10" s="4" t="s">
        <v>139</v>
      </c>
      <c r="AL10" s="4" t="s">
        <v>139</v>
      </c>
      <c r="AM10" s="4" t="s">
        <v>139</v>
      </c>
      <c r="AN10" s="4" t="s">
        <v>139</v>
      </c>
      <c r="AO10" s="4" t="s">
        <v>139</v>
      </c>
      <c r="AP10" s="4" t="s">
        <v>139</v>
      </c>
      <c r="AQ10" s="4" t="s">
        <v>139</v>
      </c>
      <c r="AR10" s="4" t="s">
        <v>139</v>
      </c>
      <c r="AS10" s="4" t="s">
        <v>139</v>
      </c>
      <c r="AT10" s="4" t="s">
        <v>139</v>
      </c>
      <c r="AU10" s="4" t="s">
        <v>139</v>
      </c>
      <c r="AV10" s="4" t="s">
        <v>139</v>
      </c>
      <c r="AW10" s="4" t="s">
        <v>139</v>
      </c>
    </row>
    <row r="11" spans="1:49" ht="20.55" customHeight="1" x14ac:dyDescent="0.25">
      <c r="A11" s="3" t="s">
        <v>286</v>
      </c>
      <c r="B11" s="4" t="s">
        <v>139</v>
      </c>
      <c r="C11" s="4" t="s">
        <v>139</v>
      </c>
      <c r="D11" s="4" t="s">
        <v>287</v>
      </c>
      <c r="E11" s="4" t="s">
        <v>288</v>
      </c>
      <c r="F11" s="4" t="s">
        <v>289</v>
      </c>
      <c r="G11" s="4" t="s">
        <v>290</v>
      </c>
      <c r="H11" s="4" t="s">
        <v>291</v>
      </c>
      <c r="I11" s="4" t="s">
        <v>292</v>
      </c>
      <c r="J11" s="4" t="s">
        <v>293</v>
      </c>
      <c r="K11" s="4" t="s">
        <v>294</v>
      </c>
      <c r="L11" s="4" t="s">
        <v>295</v>
      </c>
      <c r="M11" s="4" t="s">
        <v>296</v>
      </c>
      <c r="N11" s="4" t="s">
        <v>297</v>
      </c>
      <c r="O11" s="4" t="s">
        <v>298</v>
      </c>
      <c r="P11" s="4" t="s">
        <v>299</v>
      </c>
      <c r="Q11" s="4" t="s">
        <v>300</v>
      </c>
      <c r="R11" s="4" t="s">
        <v>301</v>
      </c>
      <c r="S11" s="4" t="s">
        <v>302</v>
      </c>
      <c r="T11" s="4" t="s">
        <v>303</v>
      </c>
      <c r="U11" s="4" t="s">
        <v>304</v>
      </c>
      <c r="V11" s="4" t="s">
        <v>305</v>
      </c>
      <c r="W11" s="4" t="s">
        <v>306</v>
      </c>
      <c r="X11" s="4" t="s">
        <v>307</v>
      </c>
      <c r="Y11" s="4" t="s">
        <v>308</v>
      </c>
      <c r="Z11" s="4" t="s">
        <v>309</v>
      </c>
      <c r="AA11" s="4" t="s">
        <v>310</v>
      </c>
      <c r="AB11" s="4" t="s">
        <v>139</v>
      </c>
      <c r="AC11" s="4" t="s">
        <v>139</v>
      </c>
      <c r="AD11" s="4" t="s">
        <v>139</v>
      </c>
      <c r="AE11" s="4" t="s">
        <v>139</v>
      </c>
      <c r="AF11" s="4" t="s">
        <v>139</v>
      </c>
      <c r="AG11" s="4" t="s">
        <v>139</v>
      </c>
      <c r="AH11" s="4" t="s">
        <v>139</v>
      </c>
      <c r="AI11" s="4" t="s">
        <v>139</v>
      </c>
      <c r="AJ11" s="4" t="s">
        <v>139</v>
      </c>
      <c r="AK11" s="4" t="s">
        <v>139</v>
      </c>
      <c r="AL11" s="4" t="s">
        <v>139</v>
      </c>
      <c r="AM11" s="4" t="s">
        <v>139</v>
      </c>
      <c r="AN11" s="4" t="s">
        <v>139</v>
      </c>
      <c r="AO11" s="4" t="s">
        <v>139</v>
      </c>
      <c r="AP11" s="4" t="s">
        <v>139</v>
      </c>
      <c r="AQ11" s="4" t="s">
        <v>139</v>
      </c>
      <c r="AR11" s="4" t="s">
        <v>139</v>
      </c>
      <c r="AS11" s="4" t="s">
        <v>139</v>
      </c>
      <c r="AT11" s="4" t="s">
        <v>139</v>
      </c>
      <c r="AU11" s="4" t="s">
        <v>139</v>
      </c>
      <c r="AV11" s="4" t="s">
        <v>139</v>
      </c>
      <c r="AW11" s="4" t="s">
        <v>139</v>
      </c>
    </row>
    <row r="12" spans="1:49" ht="20.55" customHeight="1" x14ac:dyDescent="0.25">
      <c r="A12" s="3" t="s">
        <v>311</v>
      </c>
      <c r="B12" s="4" t="s">
        <v>139</v>
      </c>
      <c r="C12" s="4" t="s">
        <v>139</v>
      </c>
      <c r="D12" s="4" t="s">
        <v>312</v>
      </c>
      <c r="E12" s="4" t="s">
        <v>313</v>
      </c>
      <c r="F12" s="4" t="s">
        <v>314</v>
      </c>
      <c r="G12" s="4" t="s">
        <v>315</v>
      </c>
      <c r="H12" s="4" t="s">
        <v>316</v>
      </c>
      <c r="I12" s="4" t="s">
        <v>317</v>
      </c>
      <c r="J12" s="4" t="s">
        <v>318</v>
      </c>
      <c r="K12" s="4" t="s">
        <v>319</v>
      </c>
      <c r="L12" s="4" t="s">
        <v>320</v>
      </c>
      <c r="M12" s="4" t="s">
        <v>321</v>
      </c>
      <c r="N12" s="4" t="s">
        <v>322</v>
      </c>
      <c r="O12" s="4" t="s">
        <v>323</v>
      </c>
      <c r="P12" s="4" t="s">
        <v>324</v>
      </c>
      <c r="Q12" s="4" t="s">
        <v>325</v>
      </c>
      <c r="R12" s="4" t="s">
        <v>326</v>
      </c>
      <c r="S12" s="4" t="s">
        <v>327</v>
      </c>
      <c r="T12" s="4" t="s">
        <v>328</v>
      </c>
      <c r="U12" s="4" t="s">
        <v>329</v>
      </c>
      <c r="V12" s="4" t="s">
        <v>330</v>
      </c>
      <c r="W12" s="4" t="s">
        <v>331</v>
      </c>
      <c r="X12" s="4" t="s">
        <v>332</v>
      </c>
      <c r="Y12" s="4" t="s">
        <v>333</v>
      </c>
      <c r="Z12" s="4" t="s">
        <v>334</v>
      </c>
      <c r="AA12" s="4" t="s">
        <v>335</v>
      </c>
      <c r="AB12" s="4" t="s">
        <v>139</v>
      </c>
      <c r="AC12" s="4" t="s">
        <v>139</v>
      </c>
      <c r="AD12" s="4" t="s">
        <v>139</v>
      </c>
      <c r="AE12" s="4" t="s">
        <v>139</v>
      </c>
      <c r="AF12" s="4" t="s">
        <v>139</v>
      </c>
      <c r="AG12" s="4" t="s">
        <v>139</v>
      </c>
      <c r="AH12" s="4" t="s">
        <v>139</v>
      </c>
      <c r="AI12" s="4" t="s">
        <v>139</v>
      </c>
      <c r="AJ12" s="4" t="s">
        <v>139</v>
      </c>
      <c r="AK12" s="4" t="s">
        <v>139</v>
      </c>
      <c r="AL12" s="4" t="s">
        <v>139</v>
      </c>
      <c r="AM12" s="4" t="s">
        <v>139</v>
      </c>
      <c r="AN12" s="4" t="s">
        <v>139</v>
      </c>
      <c r="AO12" s="4" t="s">
        <v>139</v>
      </c>
      <c r="AP12" s="4" t="s">
        <v>139</v>
      </c>
      <c r="AQ12" s="4" t="s">
        <v>139</v>
      </c>
      <c r="AR12" s="4" t="s">
        <v>139</v>
      </c>
      <c r="AS12" s="4" t="s">
        <v>139</v>
      </c>
      <c r="AT12" s="4" t="s">
        <v>139</v>
      </c>
      <c r="AU12" s="4" t="s">
        <v>139</v>
      </c>
      <c r="AV12" s="4" t="s">
        <v>139</v>
      </c>
      <c r="AW12" s="4" t="s">
        <v>139</v>
      </c>
    </row>
    <row r="13" spans="1:49" ht="20.55" customHeight="1" x14ac:dyDescent="0.25">
      <c r="A13" s="3" t="s">
        <v>336</v>
      </c>
      <c r="B13" s="4" t="s">
        <v>139</v>
      </c>
      <c r="C13" s="4" t="s">
        <v>139</v>
      </c>
      <c r="D13" s="4" t="s">
        <v>337</v>
      </c>
      <c r="E13" s="4" t="s">
        <v>338</v>
      </c>
      <c r="F13" s="4" t="s">
        <v>339</v>
      </c>
      <c r="G13" s="4" t="s">
        <v>340</v>
      </c>
      <c r="H13" s="4" t="s">
        <v>341</v>
      </c>
      <c r="I13" s="4" t="s">
        <v>342</v>
      </c>
      <c r="J13" s="4" t="s">
        <v>343</v>
      </c>
      <c r="K13" s="4" t="s">
        <v>344</v>
      </c>
      <c r="L13" s="4" t="s">
        <v>345</v>
      </c>
      <c r="M13" s="4" t="s">
        <v>346</v>
      </c>
      <c r="N13" s="4" t="s">
        <v>347</v>
      </c>
      <c r="O13" s="4" t="s">
        <v>348</v>
      </c>
      <c r="P13" s="4" t="s">
        <v>349</v>
      </c>
      <c r="Q13" s="4" t="s">
        <v>350</v>
      </c>
      <c r="R13" s="4" t="s">
        <v>351</v>
      </c>
      <c r="S13" s="4" t="s">
        <v>352</v>
      </c>
      <c r="T13" s="4" t="s">
        <v>353</v>
      </c>
      <c r="U13" s="4" t="s">
        <v>354</v>
      </c>
      <c r="V13" s="4" t="s">
        <v>355</v>
      </c>
      <c r="W13" s="4" t="s">
        <v>356</v>
      </c>
      <c r="X13" s="4" t="s">
        <v>357</v>
      </c>
      <c r="Y13" s="4" t="s">
        <v>358</v>
      </c>
      <c r="Z13" s="4" t="s">
        <v>359</v>
      </c>
      <c r="AA13" s="4" t="s">
        <v>360</v>
      </c>
      <c r="AB13" s="4" t="s">
        <v>139</v>
      </c>
      <c r="AC13" s="4" t="s">
        <v>139</v>
      </c>
      <c r="AD13" s="4" t="s">
        <v>139</v>
      </c>
      <c r="AE13" s="4" t="s">
        <v>139</v>
      </c>
      <c r="AF13" s="4" t="s">
        <v>139</v>
      </c>
      <c r="AG13" s="4" t="s">
        <v>139</v>
      </c>
      <c r="AH13" s="4" t="s">
        <v>139</v>
      </c>
      <c r="AI13" s="4" t="s">
        <v>139</v>
      </c>
      <c r="AJ13" s="4" t="s">
        <v>139</v>
      </c>
      <c r="AK13" s="4" t="s">
        <v>139</v>
      </c>
      <c r="AL13" s="4" t="s">
        <v>139</v>
      </c>
      <c r="AM13" s="4" t="s">
        <v>139</v>
      </c>
      <c r="AN13" s="4" t="s">
        <v>139</v>
      </c>
      <c r="AO13" s="4" t="s">
        <v>139</v>
      </c>
      <c r="AP13" s="4" t="s">
        <v>139</v>
      </c>
      <c r="AQ13" s="4" t="s">
        <v>139</v>
      </c>
      <c r="AR13" s="4" t="s">
        <v>139</v>
      </c>
      <c r="AS13" s="4" t="s">
        <v>139</v>
      </c>
      <c r="AT13" s="4" t="s">
        <v>139</v>
      </c>
      <c r="AU13" s="4" t="s">
        <v>139</v>
      </c>
      <c r="AV13" s="4" t="s">
        <v>139</v>
      </c>
      <c r="AW13" s="4" t="s">
        <v>139</v>
      </c>
    </row>
    <row r="14" spans="1:49" ht="20.55" customHeight="1" x14ac:dyDescent="0.25">
      <c r="A14" s="3" t="s">
        <v>361</v>
      </c>
      <c r="B14" s="4" t="s">
        <v>139</v>
      </c>
      <c r="C14" s="4" t="s">
        <v>139</v>
      </c>
      <c r="D14" s="4" t="s">
        <v>362</v>
      </c>
      <c r="E14" s="4" t="s">
        <v>363</v>
      </c>
      <c r="F14" s="4" t="s">
        <v>364</v>
      </c>
      <c r="G14" s="4" t="s">
        <v>365</v>
      </c>
      <c r="H14" s="4" t="s">
        <v>366</v>
      </c>
      <c r="I14" s="4" t="s">
        <v>367</v>
      </c>
      <c r="J14" s="4" t="s">
        <v>368</v>
      </c>
      <c r="K14" s="4" t="s">
        <v>369</v>
      </c>
      <c r="L14" s="4" t="s">
        <v>370</v>
      </c>
      <c r="M14" s="4" t="s">
        <v>371</v>
      </c>
      <c r="N14" s="4" t="s">
        <v>372</v>
      </c>
      <c r="O14" s="4" t="s">
        <v>373</v>
      </c>
      <c r="P14" s="4" t="s">
        <v>374</v>
      </c>
      <c r="Q14" s="4" t="s">
        <v>375</v>
      </c>
      <c r="R14" s="4" t="s">
        <v>376</v>
      </c>
      <c r="S14" s="4" t="s">
        <v>377</v>
      </c>
      <c r="T14" s="4" t="s">
        <v>378</v>
      </c>
      <c r="U14" s="4" t="s">
        <v>379</v>
      </c>
      <c r="V14" s="4" t="s">
        <v>380</v>
      </c>
      <c r="W14" s="4" t="s">
        <v>381</v>
      </c>
      <c r="X14" s="4" t="s">
        <v>382</v>
      </c>
      <c r="Y14" s="4" t="s">
        <v>383</v>
      </c>
      <c r="Z14" s="4" t="s">
        <v>384</v>
      </c>
      <c r="AA14" s="4" t="s">
        <v>385</v>
      </c>
      <c r="AB14" s="4" t="s">
        <v>139</v>
      </c>
      <c r="AC14" s="4" t="s">
        <v>139</v>
      </c>
      <c r="AD14" s="4" t="s">
        <v>139</v>
      </c>
      <c r="AE14" s="4" t="s">
        <v>139</v>
      </c>
      <c r="AF14" s="4" t="s">
        <v>139</v>
      </c>
      <c r="AG14" s="4" t="s">
        <v>139</v>
      </c>
      <c r="AH14" s="4" t="s">
        <v>139</v>
      </c>
      <c r="AI14" s="4" t="s">
        <v>139</v>
      </c>
      <c r="AJ14" s="4" t="s">
        <v>139</v>
      </c>
      <c r="AK14" s="4" t="s">
        <v>139</v>
      </c>
      <c r="AL14" s="4" t="s">
        <v>139</v>
      </c>
      <c r="AM14" s="4" t="s">
        <v>139</v>
      </c>
      <c r="AN14" s="4" t="s">
        <v>139</v>
      </c>
      <c r="AO14" s="4" t="s">
        <v>139</v>
      </c>
      <c r="AP14" s="4" t="s">
        <v>139</v>
      </c>
      <c r="AQ14" s="4" t="s">
        <v>139</v>
      </c>
      <c r="AR14" s="4" t="s">
        <v>139</v>
      </c>
      <c r="AS14" s="4" t="s">
        <v>139</v>
      </c>
      <c r="AT14" s="4" t="s">
        <v>139</v>
      </c>
      <c r="AU14" s="4" t="s">
        <v>139</v>
      </c>
      <c r="AV14" s="4" t="s">
        <v>139</v>
      </c>
      <c r="AW14" s="4" t="s">
        <v>139</v>
      </c>
    </row>
    <row r="15" spans="1:49" ht="20.55" customHeight="1" x14ac:dyDescent="0.25">
      <c r="A15" s="3" t="s">
        <v>386</v>
      </c>
      <c r="B15" s="4" t="s">
        <v>139</v>
      </c>
      <c r="C15" s="4" t="s">
        <v>139</v>
      </c>
      <c r="D15" s="4" t="s">
        <v>387</v>
      </c>
      <c r="E15" s="4" t="s">
        <v>388</v>
      </c>
      <c r="F15" s="4" t="s">
        <v>389</v>
      </c>
      <c r="G15" s="4" t="s">
        <v>390</v>
      </c>
      <c r="H15" s="4" t="s">
        <v>391</v>
      </c>
      <c r="I15" s="4" t="s">
        <v>392</v>
      </c>
      <c r="J15" s="4" t="s">
        <v>393</v>
      </c>
      <c r="K15" s="4" t="s">
        <v>394</v>
      </c>
      <c r="L15" s="4" t="s">
        <v>395</v>
      </c>
      <c r="M15" s="4" t="s">
        <v>396</v>
      </c>
      <c r="N15" s="4" t="s">
        <v>397</v>
      </c>
      <c r="O15" s="4" t="s">
        <v>398</v>
      </c>
      <c r="P15" s="4" t="s">
        <v>399</v>
      </c>
      <c r="Q15" s="4" t="s">
        <v>400</v>
      </c>
      <c r="R15" s="4" t="s">
        <v>401</v>
      </c>
      <c r="S15" s="4" t="s">
        <v>402</v>
      </c>
      <c r="T15" s="4" t="s">
        <v>403</v>
      </c>
      <c r="U15" s="4" t="s">
        <v>404</v>
      </c>
      <c r="V15" s="4" t="s">
        <v>405</v>
      </c>
      <c r="W15" s="4" t="s">
        <v>406</v>
      </c>
      <c r="X15" s="4" t="s">
        <v>407</v>
      </c>
      <c r="Y15" s="4" t="s">
        <v>408</v>
      </c>
      <c r="Z15" s="4" t="s">
        <v>409</v>
      </c>
      <c r="AA15" s="4" t="s">
        <v>410</v>
      </c>
      <c r="AB15" s="4" t="s">
        <v>139</v>
      </c>
      <c r="AC15" s="4" t="s">
        <v>139</v>
      </c>
      <c r="AD15" s="4" t="s">
        <v>139</v>
      </c>
      <c r="AE15" s="4" t="s">
        <v>139</v>
      </c>
      <c r="AF15" s="4" t="s">
        <v>139</v>
      </c>
      <c r="AG15" s="4" t="s">
        <v>139</v>
      </c>
      <c r="AH15" s="4" t="s">
        <v>139</v>
      </c>
      <c r="AI15" s="4" t="s">
        <v>139</v>
      </c>
      <c r="AJ15" s="4" t="s">
        <v>139</v>
      </c>
      <c r="AK15" s="4" t="s">
        <v>139</v>
      </c>
      <c r="AL15" s="4" t="s">
        <v>139</v>
      </c>
      <c r="AM15" s="4" t="s">
        <v>139</v>
      </c>
      <c r="AN15" s="4" t="s">
        <v>139</v>
      </c>
      <c r="AO15" s="4" t="s">
        <v>139</v>
      </c>
      <c r="AP15" s="4" t="s">
        <v>139</v>
      </c>
      <c r="AQ15" s="4" t="s">
        <v>139</v>
      </c>
      <c r="AR15" s="4" t="s">
        <v>139</v>
      </c>
      <c r="AS15" s="4" t="s">
        <v>139</v>
      </c>
      <c r="AT15" s="4" t="s">
        <v>139</v>
      </c>
      <c r="AU15" s="4" t="s">
        <v>139</v>
      </c>
      <c r="AV15" s="4" t="s">
        <v>139</v>
      </c>
      <c r="AW15" s="4" t="s">
        <v>139</v>
      </c>
    </row>
    <row r="16" spans="1:49" ht="20.55" customHeight="1" x14ac:dyDescent="0.25">
      <c r="A16" s="3" t="s">
        <v>411</v>
      </c>
      <c r="B16" s="4" t="s">
        <v>139</v>
      </c>
      <c r="C16" s="4" t="s">
        <v>139</v>
      </c>
      <c r="D16" s="4" t="s">
        <v>412</v>
      </c>
      <c r="E16" s="4" t="s">
        <v>413</v>
      </c>
      <c r="F16" s="4" t="s">
        <v>414</v>
      </c>
      <c r="G16" s="4" t="s">
        <v>415</v>
      </c>
      <c r="H16" s="4" t="s">
        <v>416</v>
      </c>
      <c r="I16" s="4" t="s">
        <v>417</v>
      </c>
      <c r="J16" s="4" t="s">
        <v>418</v>
      </c>
      <c r="K16" s="4" t="s">
        <v>419</v>
      </c>
      <c r="L16" s="4" t="s">
        <v>420</v>
      </c>
      <c r="M16" s="4" t="s">
        <v>421</v>
      </c>
      <c r="N16" s="4" t="s">
        <v>422</v>
      </c>
      <c r="O16" s="4" t="s">
        <v>423</v>
      </c>
      <c r="P16" s="4" t="s">
        <v>424</v>
      </c>
      <c r="Q16" s="4" t="s">
        <v>425</v>
      </c>
      <c r="R16" s="4" t="s">
        <v>426</v>
      </c>
      <c r="S16" s="4" t="s">
        <v>427</v>
      </c>
      <c r="T16" s="4" t="s">
        <v>428</v>
      </c>
      <c r="U16" s="4" t="s">
        <v>429</v>
      </c>
      <c r="V16" s="4" t="s">
        <v>430</v>
      </c>
      <c r="W16" s="4" t="s">
        <v>431</v>
      </c>
      <c r="X16" s="4" t="s">
        <v>432</v>
      </c>
      <c r="Y16" s="4" t="s">
        <v>433</v>
      </c>
      <c r="Z16" s="4" t="s">
        <v>434</v>
      </c>
      <c r="AA16" s="4" t="s">
        <v>435</v>
      </c>
      <c r="AB16" s="4" t="s">
        <v>139</v>
      </c>
      <c r="AC16" s="4" t="s">
        <v>139</v>
      </c>
      <c r="AD16" s="4" t="s">
        <v>139</v>
      </c>
      <c r="AE16" s="4" t="s">
        <v>139</v>
      </c>
      <c r="AF16" s="4" t="s">
        <v>139</v>
      </c>
      <c r="AG16" s="4" t="s">
        <v>139</v>
      </c>
      <c r="AH16" s="4" t="s">
        <v>139</v>
      </c>
      <c r="AI16" s="4" t="s">
        <v>139</v>
      </c>
      <c r="AJ16" s="4" t="s">
        <v>139</v>
      </c>
      <c r="AK16" s="4" t="s">
        <v>139</v>
      </c>
      <c r="AL16" s="4" t="s">
        <v>139</v>
      </c>
      <c r="AM16" s="4" t="s">
        <v>139</v>
      </c>
      <c r="AN16" s="4" t="s">
        <v>139</v>
      </c>
      <c r="AO16" s="4" t="s">
        <v>139</v>
      </c>
      <c r="AP16" s="4" t="s">
        <v>139</v>
      </c>
      <c r="AQ16" s="4" t="s">
        <v>139</v>
      </c>
      <c r="AR16" s="4" t="s">
        <v>139</v>
      </c>
      <c r="AS16" s="4" t="s">
        <v>139</v>
      </c>
      <c r="AT16" s="4" t="s">
        <v>139</v>
      </c>
      <c r="AU16" s="4" t="s">
        <v>139</v>
      </c>
      <c r="AV16" s="4" t="s">
        <v>139</v>
      </c>
      <c r="AW16" s="4" t="s">
        <v>139</v>
      </c>
    </row>
    <row r="17" spans="1:49" ht="20.55" customHeight="1" x14ac:dyDescent="0.25">
      <c r="A17" s="3" t="s">
        <v>436</v>
      </c>
      <c r="B17" s="4" t="s">
        <v>139</v>
      </c>
      <c r="C17" s="4" t="s">
        <v>139</v>
      </c>
      <c r="D17" s="4" t="s">
        <v>437</v>
      </c>
      <c r="E17" s="4" t="s">
        <v>438</v>
      </c>
      <c r="F17" s="4" t="s">
        <v>439</v>
      </c>
      <c r="G17" s="4" t="s">
        <v>440</v>
      </c>
      <c r="H17" s="4" t="s">
        <v>441</v>
      </c>
      <c r="I17" s="4" t="s">
        <v>442</v>
      </c>
      <c r="J17" s="4" t="s">
        <v>443</v>
      </c>
      <c r="K17" s="4" t="s">
        <v>444</v>
      </c>
      <c r="L17" s="4" t="s">
        <v>445</v>
      </c>
      <c r="M17" s="4" t="s">
        <v>446</v>
      </c>
      <c r="N17" s="4" t="s">
        <v>447</v>
      </c>
      <c r="O17" s="4" t="s">
        <v>448</v>
      </c>
      <c r="P17" s="4" t="s">
        <v>449</v>
      </c>
      <c r="Q17" s="4" t="s">
        <v>450</v>
      </c>
      <c r="R17" s="4" t="s">
        <v>451</v>
      </c>
      <c r="S17" s="4" t="s">
        <v>452</v>
      </c>
      <c r="T17" s="4" t="s">
        <v>453</v>
      </c>
      <c r="U17" s="4" t="s">
        <v>454</v>
      </c>
      <c r="V17" s="4" t="s">
        <v>455</v>
      </c>
      <c r="W17" s="4" t="s">
        <v>456</v>
      </c>
      <c r="X17" s="4" t="s">
        <v>457</v>
      </c>
      <c r="Y17" s="4" t="s">
        <v>458</v>
      </c>
      <c r="Z17" s="4" t="s">
        <v>459</v>
      </c>
      <c r="AA17" s="4" t="s">
        <v>460</v>
      </c>
      <c r="AB17" s="4" t="s">
        <v>139</v>
      </c>
      <c r="AC17" s="4" t="s">
        <v>139</v>
      </c>
      <c r="AD17" s="4" t="s">
        <v>139</v>
      </c>
      <c r="AE17" s="4" t="s">
        <v>139</v>
      </c>
      <c r="AF17" s="4" t="s">
        <v>139</v>
      </c>
      <c r="AG17" s="4" t="s">
        <v>139</v>
      </c>
      <c r="AH17" s="4" t="s">
        <v>139</v>
      </c>
      <c r="AI17" s="4" t="s">
        <v>139</v>
      </c>
      <c r="AJ17" s="4" t="s">
        <v>139</v>
      </c>
      <c r="AK17" s="4" t="s">
        <v>139</v>
      </c>
      <c r="AL17" s="4" t="s">
        <v>139</v>
      </c>
      <c r="AM17" s="4" t="s">
        <v>139</v>
      </c>
      <c r="AN17" s="4" t="s">
        <v>139</v>
      </c>
      <c r="AO17" s="4" t="s">
        <v>139</v>
      </c>
      <c r="AP17" s="4" t="s">
        <v>139</v>
      </c>
      <c r="AQ17" s="4" t="s">
        <v>139</v>
      </c>
      <c r="AR17" s="4" t="s">
        <v>139</v>
      </c>
      <c r="AS17" s="4" t="s">
        <v>139</v>
      </c>
      <c r="AT17" s="4" t="s">
        <v>139</v>
      </c>
      <c r="AU17" s="4" t="s">
        <v>139</v>
      </c>
      <c r="AV17" s="4" t="s">
        <v>139</v>
      </c>
      <c r="AW17" s="4" t="s">
        <v>139</v>
      </c>
    </row>
    <row r="18" spans="1:49" ht="20.55" customHeight="1" x14ac:dyDescent="0.25">
      <c r="A18" s="5" t="s">
        <v>461</v>
      </c>
    </row>
    <row r="20" spans="1:49" x14ac:dyDescent="0.25">
      <c r="B20">
        <v>0.748</v>
      </c>
      <c r="C20">
        <v>0.748</v>
      </c>
      <c r="D20">
        <v>0.748</v>
      </c>
      <c r="E20">
        <v>0.748</v>
      </c>
      <c r="F20">
        <v>0.748</v>
      </c>
      <c r="G20">
        <v>0.748</v>
      </c>
      <c r="H20">
        <v>0.748</v>
      </c>
      <c r="I20">
        <v>0.748</v>
      </c>
      <c r="J20">
        <v>0.748</v>
      </c>
      <c r="K20">
        <v>0.748</v>
      </c>
      <c r="L20">
        <v>0.748</v>
      </c>
      <c r="M20">
        <v>0.748</v>
      </c>
      <c r="N20">
        <v>0.748</v>
      </c>
      <c r="O20">
        <v>0.748</v>
      </c>
      <c r="P20">
        <v>0.748</v>
      </c>
      <c r="Q20">
        <v>0.748</v>
      </c>
      <c r="R20">
        <v>0.748</v>
      </c>
      <c r="S20">
        <v>0.748</v>
      </c>
      <c r="T20">
        <v>0.748</v>
      </c>
      <c r="U20">
        <v>0.748</v>
      </c>
      <c r="V20">
        <v>0.748</v>
      </c>
      <c r="W20">
        <v>0.748</v>
      </c>
      <c r="X20">
        <v>0.748</v>
      </c>
      <c r="Y20">
        <v>0.748</v>
      </c>
      <c r="Z20">
        <v>0.748</v>
      </c>
      <c r="AA20">
        <v>0.748</v>
      </c>
      <c r="AB20">
        <v>0.748</v>
      </c>
      <c r="AC20">
        <v>0.748</v>
      </c>
      <c r="AD20">
        <v>0.748</v>
      </c>
      <c r="AE20">
        <v>0.748</v>
      </c>
      <c r="AF20">
        <v>0.748</v>
      </c>
      <c r="AG20">
        <v>0.748</v>
      </c>
      <c r="AH20">
        <v>0.748</v>
      </c>
      <c r="AI20">
        <v>0.748</v>
      </c>
      <c r="AJ20">
        <v>0.748</v>
      </c>
      <c r="AK20">
        <v>0.748</v>
      </c>
    </row>
    <row r="21" spans="1:49" x14ac:dyDescent="0.25">
      <c r="B21">
        <v>0.58299999999999996</v>
      </c>
      <c r="C21">
        <v>0.58299999999999996</v>
      </c>
      <c r="D21">
        <v>0.58299999999999996</v>
      </c>
      <c r="E21">
        <v>0.58299999999999996</v>
      </c>
      <c r="F21">
        <v>0.58299999999999996</v>
      </c>
      <c r="G21">
        <v>0.58299999999999996</v>
      </c>
      <c r="H21">
        <v>0.58299999999999996</v>
      </c>
      <c r="I21">
        <v>0.58299999999999996</v>
      </c>
      <c r="J21">
        <v>0.58299999999999996</v>
      </c>
      <c r="K21">
        <v>0.58299999999999996</v>
      </c>
      <c r="L21">
        <v>0.58299999999999996</v>
      </c>
      <c r="M21">
        <v>0.58299999999999996</v>
      </c>
      <c r="N21">
        <v>0.58299999999999996</v>
      </c>
      <c r="O21">
        <v>0.58299999999999996</v>
      </c>
      <c r="P21">
        <v>0.58299999999999996</v>
      </c>
      <c r="Q21">
        <v>0.58299999999999996</v>
      </c>
      <c r="R21">
        <v>0.58299999999999996</v>
      </c>
      <c r="S21">
        <v>0.58299999999999996</v>
      </c>
      <c r="T21">
        <v>0.58299999999999996</v>
      </c>
      <c r="U21">
        <v>0.58299999999999996</v>
      </c>
      <c r="V21">
        <v>0.58299999999999996</v>
      </c>
      <c r="W21">
        <v>0.58299999999999996</v>
      </c>
      <c r="X21">
        <v>0.58299999999999996</v>
      </c>
      <c r="Y21">
        <v>0.58299999999999996</v>
      </c>
      <c r="Z21">
        <v>0.58299999999999996</v>
      </c>
      <c r="AA21">
        <v>0.58299999999999996</v>
      </c>
      <c r="AB21">
        <v>0.58299999999999996</v>
      </c>
      <c r="AC21">
        <v>0.58299999999999996</v>
      </c>
      <c r="AD21">
        <v>0.58299999999999996</v>
      </c>
      <c r="AE21">
        <v>0.58299999999999996</v>
      </c>
      <c r="AF21">
        <v>0.58299999999999996</v>
      </c>
      <c r="AG21">
        <v>0.58299999999999996</v>
      </c>
      <c r="AH21">
        <v>0.58299999999999996</v>
      </c>
      <c r="AI21">
        <v>0.58299999999999996</v>
      </c>
      <c r="AJ21">
        <v>0.58299999999999996</v>
      </c>
      <c r="AK21">
        <v>0.58299999999999996</v>
      </c>
    </row>
    <row r="22" spans="1:49" x14ac:dyDescent="0.25">
      <c r="B22">
        <v>0.44400000000000001</v>
      </c>
      <c r="C22">
        <v>0.44400000000000001</v>
      </c>
      <c r="D22">
        <v>0.44400000000000001</v>
      </c>
      <c r="E22">
        <v>0.44400000000000001</v>
      </c>
      <c r="F22">
        <v>0.44400000000000001</v>
      </c>
      <c r="G22">
        <v>0.44400000000000001</v>
      </c>
      <c r="H22">
        <v>0.44400000000000001</v>
      </c>
      <c r="I22">
        <v>0.44400000000000001</v>
      </c>
      <c r="J22">
        <v>0.44400000000000001</v>
      </c>
      <c r="K22">
        <v>0.44400000000000001</v>
      </c>
      <c r="L22">
        <v>0.44400000000000001</v>
      </c>
      <c r="M22">
        <v>0.44400000000000001</v>
      </c>
      <c r="N22">
        <v>0.44400000000000001</v>
      </c>
      <c r="O22">
        <v>0.44400000000000001</v>
      </c>
      <c r="P22">
        <v>0.44400000000000001</v>
      </c>
      <c r="Q22">
        <v>0.44400000000000001</v>
      </c>
      <c r="R22">
        <v>0.44400000000000001</v>
      </c>
      <c r="S22">
        <v>0.44400000000000001</v>
      </c>
      <c r="T22">
        <v>0.44400000000000001</v>
      </c>
      <c r="U22">
        <v>0.44400000000000001</v>
      </c>
      <c r="V22">
        <v>0.44400000000000001</v>
      </c>
      <c r="W22">
        <v>0.44400000000000001</v>
      </c>
      <c r="X22">
        <v>0.44400000000000001</v>
      </c>
      <c r="Y22">
        <v>0.44400000000000001</v>
      </c>
      <c r="Z22">
        <v>0.44400000000000001</v>
      </c>
      <c r="AA22">
        <v>0.44400000000000001</v>
      </c>
      <c r="AB22">
        <v>0.44400000000000001</v>
      </c>
      <c r="AC22">
        <v>0.44400000000000001</v>
      </c>
      <c r="AD22">
        <v>0.44400000000000001</v>
      </c>
      <c r="AE22">
        <v>0.44400000000000001</v>
      </c>
      <c r="AF22">
        <v>0.44400000000000001</v>
      </c>
      <c r="AG22">
        <v>0.44400000000000001</v>
      </c>
      <c r="AH22">
        <v>0.44400000000000001</v>
      </c>
      <c r="AI22">
        <v>0.44400000000000001</v>
      </c>
      <c r="AJ22">
        <v>0.44400000000000001</v>
      </c>
      <c r="AK22">
        <v>0.44400000000000001</v>
      </c>
    </row>
    <row r="23" spans="1:49" x14ac:dyDescent="0.25">
      <c r="A23" t="s">
        <v>462</v>
      </c>
      <c r="C23">
        <f>(C5*B20+C6*B21+C7*B22)*C4*44/12/100/100</f>
        <v>11868.851280000001</v>
      </c>
      <c r="D23">
        <f t="shared" ref="D23:AK23" si="0">(D5*C20+D6*C21+D7*C22)*D4*44/12/100/100</f>
        <v>11673.597030186667</v>
      </c>
      <c r="E23">
        <f t="shared" si="0"/>
        <v>11123.209567946666</v>
      </c>
      <c r="F23">
        <f t="shared" si="0"/>
        <v>10882.815658880001</v>
      </c>
      <c r="G23">
        <f t="shared" si="0"/>
        <v>10406.253215819997</v>
      </c>
      <c r="H23">
        <f t="shared" si="0"/>
        <v>10262.477931199999</v>
      </c>
      <c r="I23">
        <f t="shared" si="0"/>
        <v>10127.134533083334</v>
      </c>
      <c r="J23">
        <f t="shared" si="0"/>
        <v>9929.7672758900007</v>
      </c>
      <c r="K23">
        <f t="shared" si="0"/>
        <v>9734.8559224399996</v>
      </c>
      <c r="L23">
        <f t="shared" si="0"/>
        <v>9713.6083008799978</v>
      </c>
      <c r="M23">
        <f t="shared" si="0"/>
        <v>9704.5878210600004</v>
      </c>
      <c r="N23">
        <f t="shared" si="0"/>
        <v>9590.5929973700004</v>
      </c>
      <c r="O23">
        <f t="shared" si="0"/>
        <v>9330.7034581200005</v>
      </c>
      <c r="P23">
        <f t="shared" si="0"/>
        <v>9131.7686882399994</v>
      </c>
      <c r="Q23">
        <f t="shared" si="0"/>
        <v>8421.1283956799998</v>
      </c>
      <c r="R23">
        <f t="shared" si="0"/>
        <v>7970.5782464000004</v>
      </c>
      <c r="S23">
        <f t="shared" si="0"/>
        <v>7609.2179623899992</v>
      </c>
      <c r="T23">
        <f t="shared" si="0"/>
        <v>7476.7154241999988</v>
      </c>
      <c r="U23">
        <f t="shared" si="0"/>
        <v>6885.9170913500002</v>
      </c>
      <c r="V23">
        <f t="shared" si="0"/>
        <v>6286.6231764600006</v>
      </c>
      <c r="W23">
        <f t="shared" si="0"/>
        <v>5499.5516519166658</v>
      </c>
      <c r="X23">
        <f t="shared" si="0"/>
        <v>4715.1457376099997</v>
      </c>
      <c r="Y23">
        <f t="shared" si="0"/>
        <v>4010.6328421133326</v>
      </c>
      <c r="Z23">
        <f t="shared" si="0"/>
        <v>3666.6638038799993</v>
      </c>
      <c r="AA23">
        <f t="shared" si="0"/>
        <v>3504.8405814399994</v>
      </c>
      <c r="AB23">
        <f t="shared" si="0"/>
        <v>3413.6914568899997</v>
      </c>
      <c r="AC23">
        <f t="shared" si="0"/>
        <v>3293.5955137066667</v>
      </c>
      <c r="AD23">
        <f t="shared" si="0"/>
        <v>3293.9611966800003</v>
      </c>
      <c r="AE23">
        <f t="shared" si="0"/>
        <v>3305.3195727200005</v>
      </c>
      <c r="AF23">
        <f t="shared" si="0"/>
        <v>3213.0577379999995</v>
      </c>
      <c r="AG23">
        <f t="shared" si="0"/>
        <v>3019.1902798200003</v>
      </c>
      <c r="AH23">
        <f t="shared" si="0"/>
        <v>2863.5880135133325</v>
      </c>
      <c r="AI23">
        <f t="shared" si="0"/>
        <v>2708.7504213000002</v>
      </c>
      <c r="AJ23">
        <f t="shared" si="0"/>
        <v>2579.2881100433333</v>
      </c>
      <c r="AK23">
        <f t="shared" si="0"/>
        <v>2446.8006505799999</v>
      </c>
    </row>
  </sheetData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2026-04-20T04:41:10Z</dcterms:created>
  <dcterms:modified xsi:type="dcterms:W3CDTF">2026-04-20T10:25:21Z</dcterms:modified>
  <cp:category/>
</cp:coreProperties>
</file>